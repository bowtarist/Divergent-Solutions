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rent.wilbanks\Desktop\"/>
    </mc:Choice>
  </mc:AlternateContent>
  <xr:revisionPtr revIDLastSave="0" documentId="13_ncr:1_{B072878E-76E8-43CA-97FE-78E2C25C76B6}" xr6:coauthVersionLast="47" xr6:coauthVersionMax="47" xr10:uidLastSave="{00000000-0000-0000-0000-000000000000}"/>
  <bookViews>
    <workbookView xWindow="-210" yWindow="-16335" windowWidth="29040" windowHeight="15720" activeTab="5" xr2:uid="{00000000-000D-0000-FFFF-FFFF00000000}"/>
  </bookViews>
  <sheets>
    <sheet name="Quote" sheetId="1" r:id="rId1"/>
    <sheet name="Material Items" sheetId="2" r:id="rId2"/>
    <sheet name="Invoice" sheetId="3" r:id="rId3"/>
    <sheet name="Settings" sheetId="4" r:id="rId4"/>
    <sheet name="How To" sheetId="5" r:id="rId5"/>
    <sheet name="Net Profits" sheetId="6" r:id="rId6"/>
  </sheets>
  <externalReferences>
    <externalReference r:id="rId7"/>
  </externalReferences>
  <definedNames>
    <definedName name="DescriptionsList">'Material Items'!$A$2:INDEX('Material Items'!$A:$A,COUNTA('Material Items'!$A:$A))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3" l="1"/>
  <c r="G11" i="3"/>
  <c r="H11" i="3"/>
  <c r="G10" i="3"/>
  <c r="H10" i="3"/>
  <c r="C10" i="1"/>
  <c r="C11" i="1" s="1"/>
  <c r="A3" i="6"/>
  <c r="H26" i="3"/>
  <c r="A26" i="3"/>
  <c r="H25" i="3"/>
  <c r="A25" i="3"/>
  <c r="H24" i="3"/>
  <c r="A24" i="3"/>
  <c r="H23" i="3"/>
  <c r="A23" i="3"/>
  <c r="H22" i="3"/>
  <c r="A22" i="3"/>
  <c r="H21" i="3"/>
  <c r="A21" i="3"/>
  <c r="H20" i="3"/>
  <c r="A20" i="3"/>
  <c r="H19" i="3"/>
  <c r="A19" i="3"/>
  <c r="H18" i="3"/>
  <c r="A18" i="3"/>
  <c r="H17" i="3"/>
  <c r="A17" i="3"/>
  <c r="H16" i="3"/>
  <c r="A16" i="3"/>
  <c r="H15" i="3"/>
  <c r="A15" i="3"/>
  <c r="F12" i="3"/>
  <c r="B12" i="3"/>
  <c r="F11" i="3"/>
  <c r="D3" i="6" s="1"/>
  <c r="B10" i="3"/>
  <c r="B3" i="6" s="1"/>
  <c r="F9" i="3"/>
  <c r="C3" i="6" s="1"/>
  <c r="B9" i="3"/>
  <c r="K26" i="1"/>
  <c r="L26" i="1" s="1"/>
  <c r="I26" i="1"/>
  <c r="I26" i="3" s="1"/>
  <c r="K25" i="1"/>
  <c r="L25" i="1" s="1"/>
  <c r="I25" i="1"/>
  <c r="I25" i="3" s="1"/>
  <c r="K24" i="1"/>
  <c r="L24" i="1" s="1"/>
  <c r="I24" i="1"/>
  <c r="I24" i="3" s="1"/>
  <c r="K23" i="1"/>
  <c r="L23" i="1" s="1"/>
  <c r="I23" i="1"/>
  <c r="J23" i="1" s="1"/>
  <c r="K22" i="1"/>
  <c r="L22" i="1" s="1"/>
  <c r="I22" i="1"/>
  <c r="J22" i="1" s="1"/>
  <c r="K21" i="1"/>
  <c r="L21" i="1" s="1"/>
  <c r="I21" i="1"/>
  <c r="I21" i="3" s="1"/>
  <c r="K20" i="1"/>
  <c r="L20" i="1" s="1"/>
  <c r="I20" i="1"/>
  <c r="I20" i="3" s="1"/>
  <c r="K19" i="1"/>
  <c r="L19" i="1" s="1"/>
  <c r="I19" i="1"/>
  <c r="I19" i="3" s="1"/>
  <c r="K18" i="1"/>
  <c r="L18" i="1" s="1"/>
  <c r="I18" i="1"/>
  <c r="I18" i="3" s="1"/>
  <c r="K17" i="1"/>
  <c r="L17" i="1" s="1"/>
  <c r="I17" i="1"/>
  <c r="I17" i="3" s="1"/>
  <c r="K16" i="1"/>
  <c r="L16" i="1" s="1"/>
  <c r="I16" i="1"/>
  <c r="J16" i="1" s="1"/>
  <c r="K15" i="1"/>
  <c r="L15" i="1" s="1"/>
  <c r="I15" i="1"/>
  <c r="I15" i="3" s="1"/>
  <c r="B10" i="1"/>
  <c r="B11" i="1" s="1"/>
  <c r="J24" i="3" l="1"/>
  <c r="I22" i="3"/>
  <c r="J22" i="3" s="1"/>
  <c r="J21" i="3"/>
  <c r="I23" i="3"/>
  <c r="J23" i="3" s="1"/>
  <c r="J25" i="1"/>
  <c r="J25" i="3"/>
  <c r="J15" i="1"/>
  <c r="I16" i="3"/>
  <c r="J16" i="3" s="1"/>
  <c r="J15" i="3"/>
  <c r="J21" i="1"/>
  <c r="J19" i="3"/>
  <c r="J18" i="1"/>
  <c r="J18" i="3"/>
  <c r="B11" i="3"/>
  <c r="J17" i="3"/>
  <c r="J20" i="3"/>
  <c r="J26" i="3"/>
  <c r="L28" i="1"/>
  <c r="F3" i="6" s="1"/>
  <c r="J26" i="1"/>
  <c r="J19" i="1"/>
  <c r="J20" i="1"/>
  <c r="J17" i="1"/>
  <c r="J24" i="1"/>
  <c r="J28" i="3" l="1"/>
  <c r="E3" i="6" s="1"/>
  <c r="G3" i="6" s="1"/>
  <c r="J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9" authorId="0" shapeId="0" xr:uid="{00000000-0006-0000-0000-000001000000}">
      <text>
        <r>
          <rPr>
            <sz val="10"/>
            <rFont val="Arial"/>
            <family val="2"/>
          </rPr>
          <t>Enter your quote number here. The Invoice tab will use this number and add the invoice suffix.</t>
        </r>
      </text>
    </comment>
    <comment ref="C9" authorId="0" shapeId="0" xr:uid="{1C427299-4FEF-4740-971B-7F5FAB374414}">
      <text>
        <r>
          <rPr>
            <sz val="10"/>
            <rFont val="Arial"/>
            <family val="2"/>
          </rPr>
          <t>Enter your quote number here. The Invoice tab will use this number and add the invoice suffix.</t>
        </r>
      </text>
    </comment>
    <comment ref="B11" authorId="0" shapeId="0" xr:uid="{00000000-0006-0000-0000-000002000000}">
      <text>
        <r>
          <rPr>
            <sz val="10"/>
            <rFont val="Arial"/>
            <family val="2"/>
          </rPr>
          <t>Auto-calculated from Quote Date + Settings!B3 days.</t>
        </r>
      </text>
    </comment>
    <comment ref="C11" authorId="0" shapeId="0" xr:uid="{9D10E08D-AC57-4F63-9A97-1F54337BB4F4}">
      <text>
        <r>
          <rPr>
            <sz val="10"/>
            <rFont val="Arial"/>
            <family val="2"/>
          </rPr>
          <t>Auto-calculated from Quote Date + Settings!B3 days.</t>
        </r>
      </text>
    </comment>
    <comment ref="B12" authorId="0" shapeId="0" xr:uid="{00000000-0006-0000-0000-000003000000}">
      <text>
        <r>
          <rPr>
            <sz val="10"/>
            <rFont val="Arial"/>
            <family val="2"/>
          </rPr>
          <t>Switches the unit-cost column used by the quote.</t>
        </r>
      </text>
    </comment>
    <comment ref="C12" authorId="0" shapeId="0" xr:uid="{7B956DFB-2B93-4E93-96E0-4AEB19249B5E}">
      <text>
        <r>
          <rPr>
            <sz val="10"/>
            <rFont val="Arial"/>
            <family val="2"/>
          </rPr>
          <t>Switches the unit-cost column used by the quote.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9" authorId="0" shapeId="0" xr:uid="{00000000-0006-0000-0200-000001000000}">
      <text>
        <r>
          <rPr>
            <sz val="10"/>
            <rFont val="Arial"/>
            <family val="2"/>
          </rPr>
          <t>Built automatically from Quote!B9 plus the suffix in Settings!B4.</t>
        </r>
      </text>
    </comment>
    <comment ref="F12" authorId="0" shapeId="0" xr:uid="{00000000-0006-0000-0200-000002000000}">
      <text>
        <r>
          <rPr>
            <sz val="10"/>
            <rFont val="Arial"/>
            <family val="2"/>
          </rPr>
          <t>This invoice is linked to the Quote tab.</t>
        </r>
      </text>
    </comment>
  </commentList>
</comments>
</file>

<file path=xl/sharedStrings.xml><?xml version="1.0" encoding="utf-8"?>
<sst xmlns="http://schemas.openxmlformats.org/spreadsheetml/2006/main" count="119" uniqueCount="76">
  <si>
    <t>Divergent Solutions LLC</t>
  </si>
  <si>
    <t>Scottsboro, AL 35769</t>
  </si>
  <si>
    <t>256-599-0469</t>
  </si>
  <si>
    <t>Seth Talley</t>
  </si>
  <si>
    <t>256-597-6998</t>
  </si>
  <si>
    <t>Brent Wilbanks</t>
  </si>
  <si>
    <t>QUOTE</t>
  </si>
  <si>
    <t>Quote Number</t>
  </si>
  <si>
    <t>Customer Name</t>
  </si>
  <si>
    <t>Quote Date</t>
  </si>
  <si>
    <t>Address</t>
  </si>
  <si>
    <t>Valid Through</t>
  </si>
  <si>
    <t>Phone</t>
  </si>
  <si>
    <t>Price Tier</t>
  </si>
  <si>
    <t>Residential</t>
  </si>
  <si>
    <t>Description</t>
  </si>
  <si>
    <t>Qty</t>
  </si>
  <si>
    <t>Unit Price</t>
  </si>
  <si>
    <t>Line Total</t>
  </si>
  <si>
    <t>Mat. Unit Cost</t>
  </si>
  <si>
    <t>Mat. Line Cost</t>
  </si>
  <si>
    <t>6" Seamless Guttercoil</t>
  </si>
  <si>
    <t>Down Spout</t>
  </si>
  <si>
    <t>B Elbow</t>
  </si>
  <si>
    <t>4 crimp offsets</t>
  </si>
  <si>
    <t>A Elbow</t>
  </si>
  <si>
    <t>Total</t>
  </si>
  <si>
    <t>Item Price</t>
  </si>
  <si>
    <t>Contractor</t>
  </si>
  <si>
    <t>2 crimp offsets</t>
  </si>
  <si>
    <t>Clips/100</t>
  </si>
  <si>
    <t>Inside Miter</t>
  </si>
  <si>
    <t>Outside Miters</t>
  </si>
  <si>
    <t>Strip Miters</t>
  </si>
  <si>
    <t>Box Miters</t>
  </si>
  <si>
    <t>Splash Guard</t>
  </si>
  <si>
    <t>INVOICE</t>
  </si>
  <si>
    <t>Invoice Number</t>
  </si>
  <si>
    <t>Invoice Date</t>
  </si>
  <si>
    <t>Due Date</t>
  </si>
  <si>
    <t>Payment Terms</t>
  </si>
  <si>
    <t>Source Quote</t>
  </si>
  <si>
    <t>Settings</t>
  </si>
  <si>
    <t>Invoice Due (days)</t>
  </si>
  <si>
    <t>Invoice Suffix</t>
  </si>
  <si>
    <t>INV</t>
  </si>
  <si>
    <t>How pricing works</t>
  </si>
  <si>
    <t>Choose the price tier on the Quote tab (B12) to switch between Item Price, Contractor, or Residential pricing.</t>
  </si>
  <si>
    <t>How to use this workbook</t>
  </si>
  <si>
    <t>1. Fill out the Quote tab: quote number, customer info, material descriptions, quantities, and the price tier in B12.</t>
  </si>
  <si>
    <t>2. Add new materials on the Material Items tab in the next blank row. The Quote tab dropdown and pricing formulas will pick them up automatically.</t>
  </si>
  <si>
    <t>3. If you want a frozen invoice record, duplicate the Invoice tab in Excel and paste values over the formulas.</t>
  </si>
  <si>
    <t>4. Change invoice terms or invoice suffix on the Settings tab.</t>
  </si>
  <si>
    <t>5. The Net Profits tab shows the current invoice total, internal material cost, and net profit. Copy the current row there and paste values into the archive table to keep each finished invoice in your history.</t>
  </si>
  <si>
    <t>Current Invoice Profit Snapshot</t>
  </si>
  <si>
    <t>Date</t>
  </si>
  <si>
    <t>Phone Number</t>
  </si>
  <si>
    <t>Invoice Total</t>
  </si>
  <si>
    <t>Material Cost</t>
  </si>
  <si>
    <t>Net Profit</t>
  </si>
  <si>
    <t>How to use</t>
  </si>
  <si>
    <t>This row auto-fills from the current Invoice tab. To keep a permanent history, copy A3:G3 and paste values into the archive table below before starting the next invoice.</t>
  </si>
  <si>
    <t>Invoice Archive</t>
  </si>
  <si>
    <t>Color</t>
  </si>
  <si>
    <t>Black</t>
  </si>
  <si>
    <t>6" End Caps Left</t>
  </si>
  <si>
    <t>6" End Caps Right</t>
  </si>
  <si>
    <t>Straps</t>
  </si>
  <si>
    <t>Brittney Lambert</t>
  </si>
  <si>
    <t>House 20</t>
  </si>
  <si>
    <t>House 40</t>
  </si>
  <si>
    <t>House 60</t>
  </si>
  <si>
    <t>House 80</t>
  </si>
  <si>
    <t>House 100</t>
  </si>
  <si>
    <t>Jamie Darwin</t>
  </si>
  <si>
    <t>85 Woodland Park 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</si>
</sst>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
    <numFmt numFmtId="165" formatCode="\$#,##0.00"/>
  </numFmts>
  <fonts count="10" x14ac:knownFonts="1">
    <font>
      <sz val="10"/>
      <name val="Arial"/>
      <family val="2"/>
    </font>
    <font>
      <sz val="10"/>
      <name val="Arial"/>
      <family val="2"/>
    </font>
    <font>
      <sz val="11"/>
      <color theme="1"/>
      <name val="Aptos Narrow"/>
      <family val="2"/>
    </font>
    <font>
      <sz val="11"/>
      <color theme="1"/>
      <name val="Abadi"/>
      <family val="2"/>
    </font>
    <font>
      <b/>
      <sz val="14"/>
      <color theme="1"/>
      <name val="Cambria"/>
      <family val="1"/>
    </font>
    <font>
      <b/>
      <sz val="14"/>
      <color theme="1"/>
      <name val="Cambria"/>
      <family val="1"/>
    </font>
    <font>
      <b/>
      <sz val="11"/>
      <color theme="1"/>
      <name val="Cambria"/>
      <family val="1"/>
    </font>
    <font>
      <sz val="11"/>
      <color theme="1"/>
      <name val="Calibri"/>
      <family val="2"/>
    </font>
    <font>
      <b/>
      <sz val="11"/>
      <color theme="1"/>
      <name val="Cambria"/>
      <family val="1"/>
    </font>
    <font>
      <b/>
      <sz val="11"/>
      <color theme="1"/>
      <name val="Abadi"/>
      <family val="2"/>
    </font>
  </fonts>
  <fills count="9">
    <fill>
      <patternFill patternType="none"/>
    </fill>
    <fill>
      <patternFill patternType="gray125"/>
    </fill>
    <fill>
      <patternFill patternType="solid">
        <fgColor rgb="FF1F4E78"/>
      </patternFill>
    </fill>
    <fill>
      <patternFill patternType="solid">
        <fgColor rgb="FFF3F3F3"/>
      </patternFill>
    </fill>
    <fill>
      <patternFill patternType="solid">
        <fgColor rgb="FFFFF2CC"/>
      </patternFill>
    </fill>
    <fill>
      <patternFill patternType="solid">
        <fgColor rgb="FFD9E2F3"/>
      </patternFill>
    </fill>
    <fill>
      <patternFill patternType="solid">
        <fgColor theme="0" tint="-0.14999847407452621"/>
        <bgColor indexed="64"/>
      </patternFill>
    </fill>
    <fill>
      <patternFill patternType="solid">
        <fgColor rgb="FFFFF2CC"/>
        <bgColor rgb="FFFCE4D6"/>
      </patternFill>
    </fill>
    <fill>
      <patternFill patternType="solid">
        <fgColor theme="0"/>
        <bgColor indexed="64"/>
      </patternFill>
    </fill>
  </fills>
  <borders count="8">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style="medium">
        <color auto="1"/>
      </top>
      <bottom/>
      <diagonal/>
    </border>
  </borders>
  <cellStyleXfs count="7">
    <xf numFmtId="0" fontId="0" fillId="0" borderId="0"/>
    <xf numFmtId="43" fontId="1" fillId="0" borderId="0"/>
    <xf numFmtId="41" fontId="1" fillId="0" borderId="0"/>
    <xf numFmtId="44" fontId="1" fillId="0" borderId="0"/>
    <xf numFmtId="42" fontId="1" fillId="0" borderId="0"/>
    <xf numFmtId="9" fontId="1" fillId="0" borderId="0"/>
    <xf numFmtId="0" fontId="2" fillId="0" borderId="0"/>
  </cellStyleXfs>
  <cellXfs count="47">
    <xf numFmtId="0" fontId="0" fillId="0" borderId="0" xfId="0" applyAlignment="1"/>
    <xf numFmtId="0" fontId="3"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6" fillId="3" borderId="0" xfId="0" applyFont="1" applyFill="1" applyAlignment="1">
      <alignment horizontal="left" vertical="center"/>
    </xf>
    <xf numFmtId="0" fontId="7" fillId="4" borderId="1" xfId="0" applyFont="1" applyFill="1" applyBorder="1" applyAlignment="1">
      <alignment horizontal="left" vertical="center"/>
    </xf>
    <xf numFmtId="0" fontId="7" fillId="0" borderId="0" xfId="0" applyFont="1" applyAlignment="1">
      <alignment horizontal="left" vertical="center"/>
    </xf>
    <xf numFmtId="164" fontId="7" fillId="4" borderId="1" xfId="0" applyNumberFormat="1" applyFont="1" applyFill="1" applyBorder="1" applyAlignment="1">
      <alignment horizontal="left" vertical="center"/>
    </xf>
    <xf numFmtId="0" fontId="8" fillId="2" borderId="2" xfId="0" applyFont="1" applyFill="1" applyBorder="1" applyAlignment="1">
      <alignment horizontal="center" vertical="center"/>
    </xf>
    <xf numFmtId="0" fontId="2" fillId="0" borderId="0" xfId="0" applyFont="1" applyAlignment="1"/>
    <xf numFmtId="0" fontId="3" fillId="0" borderId="2" xfId="0" applyFont="1" applyBorder="1" applyAlignment="1">
      <alignment horizontal="center"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 fontId="3" fillId="0" borderId="2" xfId="0" applyNumberFormat="1" applyFont="1" applyBorder="1" applyAlignment="1">
      <alignment horizontal="center" vertical="center"/>
    </xf>
    <xf numFmtId="165" fontId="3" fillId="0" borderId="2" xfId="0" applyNumberFormat="1" applyFont="1" applyBorder="1" applyAlignment="1">
      <alignment horizontal="right" vertical="center"/>
    </xf>
    <xf numFmtId="0" fontId="3" fillId="0" borderId="6" xfId="0" applyFont="1" applyBorder="1" applyAlignment="1">
      <alignment horizontal="center" vertical="center"/>
    </xf>
    <xf numFmtId="0" fontId="6" fillId="3" borderId="7" xfId="0" applyFont="1" applyFill="1" applyBorder="1" applyAlignment="1">
      <alignment horizontal="center" vertical="center"/>
    </xf>
    <xf numFmtId="0" fontId="3" fillId="0" borderId="7" xfId="0" applyFont="1" applyBorder="1" applyAlignment="1">
      <alignment horizontal="center" vertical="center"/>
    </xf>
    <xf numFmtId="165" fontId="6" fillId="0" borderId="7" xfId="0" applyNumberFormat="1" applyFont="1" applyBorder="1" applyAlignment="1">
      <alignment horizontal="right" vertical="center"/>
    </xf>
    <xf numFmtId="0" fontId="0" fillId="0" borderId="0" xfId="0" applyAlignment="1"/>
    <xf numFmtId="0" fontId="7" fillId="5" borderId="1" xfId="0" applyFont="1" applyFill="1" applyBorder="1" applyAlignment="1">
      <alignment horizontal="left" vertical="center"/>
    </xf>
    <xf numFmtId="0" fontId="6" fillId="3" borderId="0" xfId="0" applyFont="1" applyFill="1" applyAlignment="1"/>
    <xf numFmtId="0" fontId="2" fillId="4" borderId="1" xfId="0" applyFont="1" applyFill="1" applyBorder="1" applyAlignment="1"/>
    <xf numFmtId="0" fontId="6" fillId="0" borderId="0" xfId="0" applyFont="1" applyAlignment="1"/>
    <xf numFmtId="0" fontId="2" fillId="0" borderId="0" xfId="0" applyFont="1" applyAlignment="1">
      <alignment vertical="top" wrapText="1"/>
    </xf>
    <xf numFmtId="0" fontId="5" fillId="2" borderId="0" xfId="0" applyFont="1" applyFill="1" applyAlignment="1">
      <alignment horizontal="left" vertical="center"/>
    </xf>
    <xf numFmtId="164" fontId="6" fillId="0" borderId="7" xfId="0" applyNumberFormat="1" applyFont="1" applyBorder="1" applyAlignment="1">
      <alignment horizontal="right" vertical="center"/>
    </xf>
    <xf numFmtId="164" fontId="3" fillId="0" borderId="3" xfId="0" applyNumberFormat="1" applyFont="1" applyBorder="1" applyAlignment="1">
      <alignment horizontal="left" vertical="center"/>
    </xf>
    <xf numFmtId="0" fontId="0" fillId="0" borderId="0" xfId="0" applyAlignment="1"/>
    <xf numFmtId="164" fontId="7" fillId="7" borderId="1" xfId="6" applyNumberFormat="1" applyFont="1" applyFill="1" applyBorder="1" applyAlignment="1">
      <alignment horizontal="left" vertical="center"/>
    </xf>
    <xf numFmtId="0" fontId="7" fillId="7" borderId="1" xfId="6" applyFont="1" applyFill="1" applyBorder="1" applyAlignment="1">
      <alignment horizontal="left" vertical="center"/>
    </xf>
    <xf numFmtId="0" fontId="8" fillId="6" borderId="2" xfId="0" applyFont="1" applyFill="1" applyBorder="1" applyAlignment="1">
      <alignment horizontal="center" vertical="center"/>
    </xf>
    <xf numFmtId="0" fontId="2" fillId="6" borderId="3" xfId="0" applyFont="1" applyFill="1" applyBorder="1" applyAlignment="1"/>
    <xf numFmtId="0" fontId="2" fillId="6" borderId="4" xfId="0" applyFont="1" applyFill="1" applyBorder="1" applyAlignment="1"/>
    <xf numFmtId="0" fontId="2" fillId="6" borderId="5" xfId="0" applyFont="1" applyFill="1" applyBorder="1" applyAlignment="1"/>
    <xf numFmtId="0" fontId="9" fillId="6" borderId="0" xfId="0" applyFont="1" applyFill="1" applyAlignment="1">
      <alignment horizontal="center" vertical="center"/>
    </xf>
    <xf numFmtId="0" fontId="0" fillId="6" borderId="0" xfId="0" applyFill="1" applyAlignment="1"/>
    <xf numFmtId="0" fontId="5" fillId="6" borderId="0" xfId="0" applyFont="1" applyFill="1" applyAlignment="1">
      <alignment horizontal="center" vertical="center"/>
    </xf>
    <xf numFmtId="0" fontId="7" fillId="8" borderId="1" xfId="0" applyFont="1" applyFill="1" applyBorder="1" applyAlignment="1">
      <alignment horizontal="left" vertical="center"/>
    </xf>
    <xf numFmtId="16" fontId="7" fillId="0" borderId="0" xfId="0" applyNumberFormat="1" applyFont="1" applyAlignment="1">
      <alignment horizontal="left" vertical="center"/>
    </xf>
    <xf numFmtId="0" fontId="0" fillId="0" borderId="0" xfId="0" applyAlignment="1"/>
    <xf numFmtId="0" fontId="5" fillId="6" borderId="0" xfId="0" applyFont="1" applyFill="1" applyAlignment="1">
      <alignment horizontal="center" vertical="center"/>
    </xf>
    <xf numFmtId="0" fontId="3" fillId="6" borderId="0" xfId="0" applyFont="1" applyFill="1" applyAlignment="1">
      <alignment horizontal="center" vertical="center"/>
    </xf>
    <xf numFmtId="0" fontId="5" fillId="2" borderId="0" xfId="0" applyFont="1" applyFill="1" applyAlignment="1">
      <alignment horizontal="center" vertical="center"/>
    </xf>
    <xf numFmtId="0" fontId="0" fillId="0" borderId="0" xfId="0" applyAlignment="1"/>
    <xf numFmtId="0" fontId="0" fillId="6" borderId="0" xfId="0" applyFill="1" applyAlignment="1"/>
  </cellXfs>
  <cellStyles count="7">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Normal 2" xfId="6" xr:uid="{90785E3D-22EC-4118-89C6-F1BFEC2E88AA}"/>
    <cellStyle name="Percent" xfId="5" xr:uid="{00000000-0005-0000-0000-000005000000}"/>
  </cellStyles>
  <dxfs count="2">
    <dxf>
      <fill>
        <patternFill>
          <bgColor rgb="FFFCE4D6"/>
        </patternFill>
      </fill>
    </dxf>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3F3F3"/>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490615</xdr:colOff>
      <xdr:row>6</xdr:row>
      <xdr:rowOff>72295</xdr:rowOff>
    </xdr:to>
    <xdr:pic>
      <xdr:nvPicPr>
        <xdr:cNvPr id="2" name="/xl/media/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490615</xdr:colOff>
      <xdr:row>6</xdr:row>
      <xdr:rowOff>72295</xdr:rowOff>
    </xdr:to>
    <xdr:pic>
      <xdr:nvPicPr>
        <xdr:cNvPr id="2" name="/xl/media/image1.jpeg">
          <a:extLst>
            <a:ext uri="{FF2B5EF4-FFF2-40B4-BE49-F238E27FC236}">
              <a16:creationId xmlns:a16="http://schemas.microsoft.com/office/drawing/2014/main" id="{7DD5BD44-9A73-4B93-878A-8D5C5A7AE347}"/>
            </a:ext>
          </a:extLst>
        </xdr:cNvPr>
        <xdr:cNvPicPr>
          <a:picLocks noChangeAspect="1"/>
        </xdr:cNvPicPr>
      </xdr:nvPicPr>
      <xdr:blipFill>
        <a:blip xmlns:r="http://schemas.openxmlformats.org/officeDocument/2006/relationships" r:embed="rId1"/>
        <a:stretch>
          <a:fillRect/>
        </a:stretch>
      </xdr:blipFill>
      <xdr:spPr>
        <a:xfrm>
          <a:off x="0" y="0"/>
          <a:ext cx="2354340" cy="127879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rent.wilbanks\Downloads\Divergent%20Solutions%20Quote%20to%20Invoice%20with%20Net%20Profits.xlsx" TargetMode="External"/><Relationship Id="rId1" Type="http://schemas.openxmlformats.org/officeDocument/2006/relationships/externalLinkPath" Target="/Users/brent.wilbanks/Downloads/Divergent%20Solutions%20Quote%20to%20Invoice%20with%20Net%20Profi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ote"/>
      <sheetName val="Material Items"/>
      <sheetName val="Invoice"/>
      <sheetName val="Settings"/>
      <sheetName val="How To"/>
      <sheetName val="Net Profits"/>
    </sheetNames>
    <sheetDataSet>
      <sheetData sheetId="0"/>
      <sheetData sheetId="1"/>
      <sheetData sheetId="2"/>
      <sheetData sheetId="3">
        <row r="3">
          <cell r="B3">
            <v>30</v>
          </cell>
        </row>
      </sheetData>
      <sheetData sheetId="4"/>
      <sheetData sheetId="5"/>
    </sheetDataSet>
  </externalBook>
</externalLink>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zoomScale="90" zoomScaleNormal="90" workbookViewId="0">
      <selection activeCell="F36" sqref="F36"/>
    </sheetView>
  </sheetViews>
  <sheetFormatPr defaultColWidth="0" defaultRowHeight="15" x14ac:dyDescent="0.2"/>
  <cols>
    <col min="1" max="1" width="28" style="1" customWidth="1"/>
    <col min="2" max="2" width="20.42578125" style="1" hidden="1" customWidth="1"/>
    <col min="3" max="4" width="11.28515625" style="1" customWidth="1"/>
    <col min="5" max="5" width="19.28515625" style="1" customWidth="1"/>
    <col min="6" max="9" width="13.5703125" style="1" customWidth="1"/>
    <col min="10" max="10" width="15.85546875" style="1" customWidth="1"/>
    <col min="11" max="11" width="10.42578125" style="1" hidden="1" customWidth="1"/>
    <col min="12" max="16384" width="10.42578125" style="1" hidden="1"/>
  </cols>
  <sheetData>
    <row r="1" spans="1:12" ht="17.45" customHeight="1" x14ac:dyDescent="0.2">
      <c r="E1" s="2" t="s">
        <v>0</v>
      </c>
      <c r="H1" s="3" t="s">
        <v>1</v>
      </c>
    </row>
    <row r="2" spans="1:12" ht="13.9" customHeight="1" x14ac:dyDescent="0.2">
      <c r="E2" s="3" t="s">
        <v>2</v>
      </c>
      <c r="F2" s="3" t="s">
        <v>3</v>
      </c>
    </row>
    <row r="3" spans="1:12" ht="13.9" customHeight="1" x14ac:dyDescent="0.2">
      <c r="E3" s="3" t="s">
        <v>4</v>
      </c>
      <c r="F3" s="3" t="s">
        <v>5</v>
      </c>
    </row>
    <row r="4" spans="1:12" ht="13.9" customHeight="1" x14ac:dyDescent="0.2"/>
    <row r="5" spans="1:12" ht="13.9" customHeight="1" x14ac:dyDescent="0.2"/>
    <row r="6" spans="1:12" ht="24" customHeight="1" x14ac:dyDescent="0.2">
      <c r="A6" s="42" t="s">
        <v>6</v>
      </c>
      <c r="B6" s="43"/>
      <c r="C6" s="43"/>
      <c r="D6" s="43"/>
      <c r="E6" s="43"/>
      <c r="F6" s="43"/>
      <c r="G6" s="43"/>
      <c r="H6" s="43"/>
      <c r="I6" s="43"/>
      <c r="J6" s="43"/>
    </row>
    <row r="7" spans="1:12" ht="13.9" customHeight="1" x14ac:dyDescent="0.2"/>
    <row r="8" spans="1:12" ht="13.9" customHeight="1" x14ac:dyDescent="0.2"/>
    <row r="9" spans="1:12" ht="13.9" customHeight="1" x14ac:dyDescent="0.2">
      <c r="A9" s="4" t="s">
        <v>7</v>
      </c>
      <c r="B9" s="5"/>
      <c r="C9" s="31">
        <v>1</v>
      </c>
      <c r="D9" s="6"/>
      <c r="E9" s="4" t="s">
        <v>8</v>
      </c>
      <c r="F9" s="5" t="s">
        <v>74</v>
      </c>
      <c r="G9" s="5"/>
      <c r="H9" s="5"/>
      <c r="I9" s="5"/>
      <c r="J9" s="6"/>
    </row>
    <row r="10" spans="1:12" ht="13.9" customHeight="1" x14ac:dyDescent="0.2">
      <c r="A10" s="4" t="s">
        <v>9</v>
      </c>
      <c r="B10" s="7">
        <f ca="1">TODAY()</f>
        <v>46127</v>
      </c>
      <c r="C10" s="30">
        <f ca="1">TODAY()</f>
        <v>46127</v>
      </c>
      <c r="D10" s="6"/>
      <c r="E10" s="4" t="s">
        <v>10</v>
      </c>
      <c r="F10" s="5" t="s">
        <v>75</v>
      </c>
      <c r="G10" s="5"/>
      <c r="H10" s="5"/>
      <c r="I10" s="5"/>
      <c r="J10" s="6"/>
    </row>
    <row r="11" spans="1:12" ht="13.9" customHeight="1" x14ac:dyDescent="0.2">
      <c r="A11" s="4" t="s">
        <v>11</v>
      </c>
      <c r="B11" s="7">
        <f ca="1">IF(B10="","",B10+Settings!$B$3)</f>
        <v>46157</v>
      </c>
      <c r="C11" s="30">
        <f ca="1">IF(C10="","",C10+[1]Settings!$B$3)</f>
        <v>46157</v>
      </c>
      <c r="D11" s="6"/>
      <c r="E11" s="4" t="s">
        <v>12</v>
      </c>
      <c r="F11" s="5">
        <v>2566050544</v>
      </c>
      <c r="G11" s="5"/>
      <c r="H11" s="5"/>
      <c r="I11" s="5"/>
      <c r="J11" s="6"/>
    </row>
    <row r="12" spans="1:12" ht="13.9" customHeight="1" x14ac:dyDescent="0.2">
      <c r="A12" s="4" t="s">
        <v>13</v>
      </c>
      <c r="B12" s="5" t="s">
        <v>14</v>
      </c>
      <c r="C12" s="31" t="s">
        <v>14</v>
      </c>
      <c r="D12" s="6"/>
      <c r="E12" s="6"/>
      <c r="F12" s="6"/>
      <c r="G12" s="6"/>
      <c r="H12" s="6"/>
      <c r="I12" s="6"/>
      <c r="J12" s="6"/>
    </row>
    <row r="13" spans="1:12" ht="13.9" customHeight="1" x14ac:dyDescent="0.2"/>
    <row r="14" spans="1:12" ht="13.9" customHeight="1" x14ac:dyDescent="0.25">
      <c r="A14" s="32" t="s">
        <v>15</v>
      </c>
      <c r="B14" s="32"/>
      <c r="C14" s="33"/>
      <c r="D14" s="34"/>
      <c r="E14" s="34"/>
      <c r="F14" s="34"/>
      <c r="G14" s="35"/>
      <c r="H14" s="32" t="s">
        <v>16</v>
      </c>
      <c r="I14" s="32" t="s">
        <v>17</v>
      </c>
      <c r="J14" s="32" t="s">
        <v>18</v>
      </c>
      <c r="K14" s="8" t="s">
        <v>19</v>
      </c>
      <c r="L14" s="8" t="s">
        <v>20</v>
      </c>
    </row>
    <row r="15" spans="1:12" ht="16.350000000000001" customHeight="1" x14ac:dyDescent="0.2">
      <c r="A15" s="10" t="s">
        <v>21</v>
      </c>
      <c r="B15" s="11"/>
      <c r="C15" s="12"/>
      <c r="D15" s="12"/>
      <c r="E15" s="12"/>
      <c r="F15" s="12"/>
      <c r="G15" s="13"/>
      <c r="H15" s="14">
        <v>252</v>
      </c>
      <c r="I15" s="15">
        <f>IF($A15="","",IFERROR(INDEX('Material Items'!$B:$D,MATCH($A15,'Material Items'!$A:$A,0),MATCH($B$12,'Material Items'!$B$1:$D$1,0)),""))</f>
        <v>7</v>
      </c>
      <c r="J15" s="15">
        <f t="shared" ref="J15:J26" si="0">IF(OR($A15="",$H15="",$I15=""),"",H15*I15)</f>
        <v>1764</v>
      </c>
      <c r="K15" s="15">
        <f>IF($A15="","",IFERROR(INDEX('Material Items'!$B:$B,MATCH($A15,'Material Items'!$A:$A,0)),""))</f>
        <v>2.09</v>
      </c>
      <c r="L15" s="15">
        <f t="shared" ref="L15:L26" si="1">IF(OR($A15="",$H15="",$K15=""),"",H15*K15)</f>
        <v>526.67999999999995</v>
      </c>
    </row>
    <row r="16" spans="1:12" ht="16.350000000000001" customHeight="1" x14ac:dyDescent="0.2">
      <c r="A16" s="10" t="s">
        <v>22</v>
      </c>
      <c r="B16" s="11"/>
      <c r="C16" s="12"/>
      <c r="D16" s="12"/>
      <c r="E16" s="12"/>
      <c r="F16" s="12"/>
      <c r="G16" s="13"/>
      <c r="H16" s="14">
        <v>7</v>
      </c>
      <c r="I16" s="15">
        <f>IF($A16="","",IFERROR(INDEX('Material Items'!$B:$D,MATCH($A16,'Material Items'!$A:$A,0),MATCH($B$12,'Material Items'!$B$1:$D$1,0)),""))</f>
        <v>70</v>
      </c>
      <c r="J16" s="15">
        <f t="shared" si="0"/>
        <v>490</v>
      </c>
      <c r="K16" s="15">
        <f>IF($A16="","",IFERROR(INDEX('Material Items'!$B:$B,MATCH($A16,'Material Items'!$A:$A,0)),""))</f>
        <v>15.7</v>
      </c>
      <c r="L16" s="15">
        <f t="shared" si="1"/>
        <v>109.89999999999999</v>
      </c>
    </row>
    <row r="17" spans="1:12" ht="16.350000000000001" customHeight="1" x14ac:dyDescent="0.2">
      <c r="A17" s="10" t="s">
        <v>25</v>
      </c>
      <c r="B17" s="11"/>
      <c r="C17" s="12"/>
      <c r="D17" s="12"/>
      <c r="E17" s="12"/>
      <c r="F17" s="12"/>
      <c r="G17" s="13"/>
      <c r="H17" s="14">
        <v>21</v>
      </c>
      <c r="I17" s="15">
        <f>IF($A17="","",IFERROR(INDEX('Material Items'!$B:$D,MATCH($A17,'Material Items'!$A:$A,0),MATCH($B$12,'Material Items'!$B$1:$D$1,0)),""))</f>
        <v>7</v>
      </c>
      <c r="J17" s="15">
        <f t="shared" si="0"/>
        <v>147</v>
      </c>
      <c r="K17" s="15">
        <f>IF($A17="","",IFERROR(INDEX('Material Items'!$B:$B,MATCH($A17,'Material Items'!$A:$A,0)),""))</f>
        <v>2.04</v>
      </c>
      <c r="L17" s="15">
        <f t="shared" si="1"/>
        <v>42.84</v>
      </c>
    </row>
    <row r="18" spans="1:12" ht="16.350000000000001" customHeight="1" x14ac:dyDescent="0.2">
      <c r="A18" s="10" t="s">
        <v>31</v>
      </c>
      <c r="B18" s="11"/>
      <c r="C18" s="12"/>
      <c r="D18" s="12"/>
      <c r="E18" s="12"/>
      <c r="F18" s="12"/>
      <c r="G18" s="13"/>
      <c r="H18" s="14">
        <v>2</v>
      </c>
      <c r="I18" s="15">
        <f>IF($A18="","",IFERROR(INDEX('Material Items'!$B:$D,MATCH($A18,'Material Items'!$A:$A,0),MATCH($B$12,'Material Items'!$B$1:$D$1,0)),""))</f>
        <v>32</v>
      </c>
      <c r="J18" s="15">
        <f t="shared" si="0"/>
        <v>64</v>
      </c>
      <c r="K18" s="15">
        <f>IF($A18="","",IFERROR(INDEX('Material Items'!$B:$B,MATCH($A18,'Material Items'!$A:$A,0)),""))</f>
        <v>20</v>
      </c>
      <c r="L18" s="15">
        <f t="shared" si="1"/>
        <v>40</v>
      </c>
    </row>
    <row r="19" spans="1:12" ht="16.350000000000001" customHeight="1" x14ac:dyDescent="0.2">
      <c r="A19" s="10" t="s">
        <v>24</v>
      </c>
      <c r="B19" s="11"/>
      <c r="C19" s="12"/>
      <c r="D19" s="12"/>
      <c r="E19" s="12"/>
      <c r="F19" s="12"/>
      <c r="G19" s="13"/>
      <c r="H19" s="14">
        <v>4</v>
      </c>
      <c r="I19" s="15">
        <f>IF($A19="","",IFERROR(INDEX('Material Items'!$B:$D,MATCH($A19,'Material Items'!$A:$A,0),MATCH($B$12,'Material Items'!$B$1:$D$1,0)),""))</f>
        <v>7</v>
      </c>
      <c r="J19" s="15">
        <f t="shared" si="0"/>
        <v>28</v>
      </c>
      <c r="K19" s="15">
        <f>IF($A19="","",IFERROR(INDEX('Material Items'!$B:$B,MATCH($A19,'Material Items'!$A:$A,0)),""))</f>
        <v>2</v>
      </c>
      <c r="L19" s="15">
        <f t="shared" si="1"/>
        <v>8</v>
      </c>
    </row>
    <row r="20" spans="1:12" ht="13.9" customHeight="1" x14ac:dyDescent="0.2">
      <c r="A20" s="10" t="s">
        <v>65</v>
      </c>
      <c r="B20" s="11"/>
      <c r="C20" s="12"/>
      <c r="D20" s="12"/>
      <c r="E20" s="12"/>
      <c r="F20" s="12"/>
      <c r="G20" s="13"/>
      <c r="H20" s="14">
        <v>3</v>
      </c>
      <c r="I20" s="15">
        <f>IF($A20="","",IFERROR(INDEX('Material Items'!$B:$D,MATCH($A20,'Material Items'!$A:$A,0),MATCH($B$12,'Material Items'!$B$1:$D$1,0)),""))</f>
        <v>0</v>
      </c>
      <c r="J20" s="15">
        <f t="shared" si="0"/>
        <v>0</v>
      </c>
      <c r="K20" s="15">
        <f>IF($A20="","",IFERROR(INDEX('Material Items'!$B:$B,MATCH($A20,'Material Items'!$A:$A,0)),""))</f>
        <v>1.84</v>
      </c>
      <c r="L20" s="15">
        <f t="shared" si="1"/>
        <v>5.5200000000000005</v>
      </c>
    </row>
    <row r="21" spans="1:12" ht="13.9" customHeight="1" x14ac:dyDescent="0.2">
      <c r="A21" s="10" t="s">
        <v>66</v>
      </c>
      <c r="B21" s="11"/>
      <c r="C21" s="12"/>
      <c r="D21" s="12"/>
      <c r="E21" s="12"/>
      <c r="F21" s="12"/>
      <c r="G21" s="13"/>
      <c r="H21" s="14">
        <v>3</v>
      </c>
      <c r="I21" s="15">
        <f>IF($A21="","",IFERROR(INDEX('Material Items'!$B:$D,MATCH($A21,'Material Items'!$A:$A,0),MATCH($B$12,'Material Items'!$B$1:$D$1,0)),""))</f>
        <v>0</v>
      </c>
      <c r="J21" s="15">
        <f t="shared" si="0"/>
        <v>0</v>
      </c>
      <c r="K21" s="15">
        <f>IF($A21="","",IFERROR(INDEX('Material Items'!$B:$B,MATCH($A21,'Material Items'!$A:$A,0)),""))</f>
        <v>1.84</v>
      </c>
      <c r="L21" s="15">
        <f t="shared" si="1"/>
        <v>5.5200000000000005</v>
      </c>
    </row>
    <row r="22" spans="1:12" ht="13.9" customHeight="1" x14ac:dyDescent="0.2">
      <c r="A22" s="10" t="s">
        <v>67</v>
      </c>
      <c r="B22" s="11"/>
      <c r="C22" s="12"/>
      <c r="D22" s="12"/>
      <c r="E22" s="12"/>
      <c r="F22" s="12"/>
      <c r="G22" s="13"/>
      <c r="H22" s="14">
        <v>14</v>
      </c>
      <c r="I22" s="15">
        <f>IF($A22="","",IFERROR(INDEX('Material Items'!$B:$D,MATCH($A22,'Material Items'!$A:$A,0),MATCH($B$12,'Material Items'!$B$1:$D$1,0)),""))</f>
        <v>2</v>
      </c>
      <c r="J22" s="15">
        <f t="shared" si="0"/>
        <v>28</v>
      </c>
      <c r="K22" s="15">
        <f>IF($A22="","",IFERROR(INDEX('Material Items'!$B:$B,MATCH($A22,'Material Items'!$A:$A,0)),""))</f>
        <v>2</v>
      </c>
      <c r="L22" s="15">
        <f t="shared" si="1"/>
        <v>28</v>
      </c>
    </row>
    <row r="23" spans="1:12" ht="13.9" customHeight="1" x14ac:dyDescent="0.2">
      <c r="A23" s="10" t="s">
        <v>30</v>
      </c>
      <c r="B23" s="11"/>
      <c r="C23" s="12"/>
      <c r="D23" s="12"/>
      <c r="E23" s="12"/>
      <c r="F23" s="12"/>
      <c r="G23" s="13"/>
      <c r="H23" s="14">
        <v>84</v>
      </c>
      <c r="I23" s="15">
        <f>IF($A23="","",IFERROR(INDEX('Material Items'!$B:$D,MATCH($A23,'Material Items'!$A:$A,0),MATCH($B$12,'Material Items'!$B$1:$D$1,0)),""))</f>
        <v>0.55000000000000004</v>
      </c>
      <c r="J23" s="15">
        <f t="shared" si="0"/>
        <v>46.2</v>
      </c>
      <c r="K23" s="15">
        <f>IF($A23="","",IFERROR(INDEX('Material Items'!$B:$B,MATCH($A23,'Material Items'!$A:$A,0)),""))</f>
        <v>0.55000000000000004</v>
      </c>
      <c r="L23" s="15">
        <f t="shared" si="1"/>
        <v>46.2</v>
      </c>
    </row>
    <row r="24" spans="1:12" ht="13.9" customHeight="1" x14ac:dyDescent="0.2">
      <c r="A24" s="10" t="s">
        <v>32</v>
      </c>
      <c r="B24" s="11"/>
      <c r="C24" s="12"/>
      <c r="D24" s="12"/>
      <c r="E24" s="12"/>
      <c r="F24" s="12"/>
      <c r="G24" s="13"/>
      <c r="H24" s="14">
        <v>8</v>
      </c>
      <c r="I24" s="15">
        <f>IF($A24="","",IFERROR(INDEX('Material Items'!$B:$D,MATCH($A24,'Material Items'!$A:$A,0),MATCH($B$12,'Material Items'!$B$1:$D$1,0)),""))</f>
        <v>32</v>
      </c>
      <c r="J24" s="15">
        <f t="shared" si="0"/>
        <v>256</v>
      </c>
      <c r="K24" s="15">
        <f>IF($A24="","",IFERROR(INDEX('Material Items'!$B:$B,MATCH($A24,'Material Items'!$A:$A,0)),""))</f>
        <v>20</v>
      </c>
      <c r="L24" s="15">
        <f t="shared" si="1"/>
        <v>160</v>
      </c>
    </row>
    <row r="25" spans="1:12" ht="13.9" customHeight="1" x14ac:dyDescent="0.2">
      <c r="A25" s="10"/>
      <c r="B25" s="11"/>
      <c r="C25" s="12"/>
      <c r="D25" s="12"/>
      <c r="E25" s="12"/>
      <c r="F25" s="12"/>
      <c r="G25" s="13"/>
      <c r="H25" s="14"/>
      <c r="I25" s="15" t="str">
        <f>IF($A25="","",IFERROR(INDEX('Material Items'!$B:$D,MATCH($A25,'Material Items'!$A:$A,0),MATCH($B$12,'Material Items'!$B$1:$D$1,0)),""))</f>
        <v/>
      </c>
      <c r="J25" s="15" t="str">
        <f t="shared" si="0"/>
        <v/>
      </c>
      <c r="K25" s="15" t="str">
        <f>IF($A25="","",IFERROR(INDEX('Material Items'!$B:$B,MATCH($A25,'Material Items'!$A:$A,0)),""))</f>
        <v/>
      </c>
      <c r="L25" s="15" t="str">
        <f t="shared" si="1"/>
        <v/>
      </c>
    </row>
    <row r="26" spans="1:12" ht="13.9" customHeight="1" x14ac:dyDescent="0.2">
      <c r="A26" s="10"/>
      <c r="B26" s="11"/>
      <c r="C26" s="12"/>
      <c r="D26" s="12"/>
      <c r="E26" s="12"/>
      <c r="F26" s="12"/>
      <c r="G26" s="13"/>
      <c r="H26" s="14"/>
      <c r="I26" s="15" t="str">
        <f>IF($A26="","",IFERROR(INDEX('Material Items'!$B:$D,MATCH($A26,'Material Items'!$A:$A,0),MATCH($B$12,'Material Items'!$B$1:$D$1,0)),""))</f>
        <v/>
      </c>
      <c r="J26" s="15" t="str">
        <f t="shared" si="0"/>
        <v/>
      </c>
      <c r="K26" s="15" t="str">
        <f>IF($A26="","",IFERROR(INDEX('Material Items'!$B:$B,MATCH($A26,'Material Items'!$A:$A,0)),""))</f>
        <v/>
      </c>
      <c r="L26" s="15" t="str">
        <f t="shared" si="1"/>
        <v/>
      </c>
    </row>
    <row r="27" spans="1:12" ht="13.9" customHeight="1" x14ac:dyDescent="0.2">
      <c r="A27" s="16"/>
      <c r="B27" s="16"/>
      <c r="C27" s="16"/>
      <c r="D27" s="16"/>
      <c r="E27" s="16"/>
      <c r="F27" s="16"/>
      <c r="G27" s="16"/>
      <c r="H27" s="16"/>
      <c r="I27" s="16"/>
      <c r="J27" s="16"/>
    </row>
    <row r="28" spans="1:12" ht="13.9" customHeight="1" x14ac:dyDescent="0.25">
      <c r="A28" s="9"/>
      <c r="B28" s="9"/>
      <c r="C28" s="9"/>
      <c r="D28" s="9"/>
      <c r="E28" s="9"/>
      <c r="F28" s="9"/>
      <c r="G28" s="9"/>
      <c r="H28" s="17" t="s">
        <v>26</v>
      </c>
      <c r="I28" s="18"/>
      <c r="J28" s="19">
        <f>IF(COUNT(J15:J26)=0,"",SUM(J15:J26))</f>
        <v>2823.2</v>
      </c>
      <c r="L28" s="19">
        <f>IF(COUNT(L15:L26)=0,"",SUM(L15:L26))</f>
        <v>972.66</v>
      </c>
    </row>
    <row r="29" spans="1:12" x14ac:dyDescent="0.2">
      <c r="A29" s="36" t="s">
        <v>63</v>
      </c>
      <c r="C29" s="1" t="s">
        <v>64</v>
      </c>
    </row>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sheetData>
  <mergeCells count="1">
    <mergeCell ref="A6:J6"/>
  </mergeCells>
  <conditionalFormatting sqref="I15:I26">
    <cfRule type="expression" dxfId="1" priority="2">
      <formula>AND($A15&lt;&gt;"",$I15="")</formula>
    </cfRule>
  </conditionalFormatting>
  <dataValidations count="3">
    <dataValidation type="list" sqref="B12" xr:uid="{00000000-0002-0000-0000-000000000000}">
      <formula1>"Item Price,Contractor,Residential"</formula1>
    </dataValidation>
    <dataValidation type="list" allowBlank="1" sqref="A15:A26" xr:uid="{00000000-0002-0000-0000-000001000000}">
      <formula1>DescriptionsList</formula1>
    </dataValidation>
    <dataValidation type="list" operator="equal" sqref="C12" xr:uid="{9A21DEDC-23A1-4500-A0E3-D137FBB1D45F}">
      <formula1>"Item Price,Contractor,Residential"</formula1>
      <formula2>0</formula2>
    </dataValidation>
  </dataValidations>
  <pageMargins left="0.7" right="0.7" top="0.75" bottom="0.75" header="0.3" footer="0.3"/>
  <pageSetup scale="65"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election activeCell="E25" sqref="E25"/>
    </sheetView>
  </sheetViews>
  <sheetFormatPr defaultColWidth="9.7109375" defaultRowHeight="12.75" x14ac:dyDescent="0.2"/>
  <cols>
    <col min="1" max="1" width="28" style="20" customWidth="1"/>
    <col min="2" max="4" width="12" style="20" customWidth="1"/>
    <col min="5" max="5" width="14.140625" style="20" customWidth="1"/>
  </cols>
  <sheetData>
    <row r="1" spans="1:4" ht="12.75" customHeight="1" x14ac:dyDescent="0.2">
      <c r="A1" s="20" t="s">
        <v>15</v>
      </c>
      <c r="B1" s="20" t="s">
        <v>27</v>
      </c>
      <c r="C1" s="20" t="s">
        <v>28</v>
      </c>
      <c r="D1" s="20" t="s">
        <v>14</v>
      </c>
    </row>
    <row r="2" spans="1:4" ht="12.75" customHeight="1" x14ac:dyDescent="0.2">
      <c r="A2" s="20" t="s">
        <v>21</v>
      </c>
      <c r="B2" s="20">
        <v>2.09</v>
      </c>
      <c r="C2" s="41">
        <v>6.5</v>
      </c>
      <c r="D2" s="20">
        <v>7</v>
      </c>
    </row>
    <row r="3" spans="1:4" ht="12.75" customHeight="1" x14ac:dyDescent="0.2">
      <c r="A3" s="20" t="s">
        <v>22</v>
      </c>
      <c r="B3" s="20">
        <v>15.7</v>
      </c>
      <c r="C3" s="41">
        <v>65</v>
      </c>
      <c r="D3" s="20">
        <v>70</v>
      </c>
    </row>
    <row r="4" spans="1:4" ht="12.75" customHeight="1" x14ac:dyDescent="0.2">
      <c r="A4" s="20" t="s">
        <v>25</v>
      </c>
      <c r="B4" s="20">
        <v>2.04</v>
      </c>
      <c r="C4" s="41">
        <v>6.5</v>
      </c>
      <c r="D4" s="20">
        <v>7</v>
      </c>
    </row>
    <row r="5" spans="1:4" ht="12.75" customHeight="1" x14ac:dyDescent="0.2">
      <c r="A5" s="20" t="s">
        <v>23</v>
      </c>
      <c r="B5" s="20">
        <v>2.04</v>
      </c>
      <c r="C5" s="41">
        <v>6.5</v>
      </c>
      <c r="D5" s="20">
        <v>7</v>
      </c>
    </row>
    <row r="6" spans="1:4" ht="12.75" customHeight="1" x14ac:dyDescent="0.2">
      <c r="A6" s="20" t="s">
        <v>29</v>
      </c>
      <c r="B6" s="29">
        <v>2</v>
      </c>
      <c r="C6" s="41">
        <v>6.5</v>
      </c>
      <c r="D6" s="29">
        <v>7</v>
      </c>
    </row>
    <row r="7" spans="1:4" ht="12.75" customHeight="1" x14ac:dyDescent="0.2">
      <c r="A7" s="20" t="s">
        <v>24</v>
      </c>
      <c r="B7" s="29">
        <v>2</v>
      </c>
      <c r="C7" s="41">
        <v>6.5</v>
      </c>
      <c r="D7" s="29">
        <v>7</v>
      </c>
    </row>
    <row r="8" spans="1:4" ht="12.75" customHeight="1" x14ac:dyDescent="0.2">
      <c r="A8" s="20" t="s">
        <v>65</v>
      </c>
      <c r="B8" s="20">
        <v>1.84</v>
      </c>
      <c r="C8" s="41">
        <v>0</v>
      </c>
      <c r="D8" s="20">
        <v>0</v>
      </c>
    </row>
    <row r="9" spans="1:4" ht="12.75" customHeight="1" x14ac:dyDescent="0.2">
      <c r="A9" s="20" t="s">
        <v>66</v>
      </c>
      <c r="B9" s="20">
        <v>1.84</v>
      </c>
      <c r="C9" s="41">
        <v>0</v>
      </c>
      <c r="D9" s="20">
        <v>0</v>
      </c>
    </row>
    <row r="10" spans="1:4" ht="12.75" customHeight="1" x14ac:dyDescent="0.2">
      <c r="A10" s="20" t="s">
        <v>30</v>
      </c>
      <c r="B10" s="20">
        <v>0.55000000000000004</v>
      </c>
      <c r="C10" s="41">
        <v>0.55000000000000004</v>
      </c>
      <c r="D10" s="20">
        <v>0.55000000000000004</v>
      </c>
    </row>
    <row r="11" spans="1:4" ht="12.75" customHeight="1" x14ac:dyDescent="0.2">
      <c r="A11" s="20" t="s">
        <v>31</v>
      </c>
      <c r="B11" s="29">
        <v>20</v>
      </c>
      <c r="C11" s="41">
        <v>32</v>
      </c>
      <c r="D11" s="29">
        <v>32</v>
      </c>
    </row>
    <row r="12" spans="1:4" ht="12.75" customHeight="1" x14ac:dyDescent="0.2">
      <c r="A12" s="20" t="s">
        <v>32</v>
      </c>
      <c r="B12" s="29">
        <v>20</v>
      </c>
      <c r="C12" s="41">
        <v>32</v>
      </c>
      <c r="D12" s="29">
        <v>32</v>
      </c>
    </row>
    <row r="13" spans="1:4" ht="12.75" customHeight="1" x14ac:dyDescent="0.2">
      <c r="A13" s="20" t="s">
        <v>33</v>
      </c>
      <c r="B13" s="29">
        <v>20</v>
      </c>
      <c r="C13" s="41">
        <v>32</v>
      </c>
      <c r="D13" s="29">
        <v>32</v>
      </c>
    </row>
    <row r="14" spans="1:4" ht="12.75" customHeight="1" x14ac:dyDescent="0.2">
      <c r="A14" s="20" t="s">
        <v>34</v>
      </c>
      <c r="B14" s="29">
        <v>20</v>
      </c>
      <c r="C14" s="41">
        <v>32</v>
      </c>
      <c r="D14" s="29">
        <v>32</v>
      </c>
    </row>
    <row r="15" spans="1:4" ht="12.75" customHeight="1" x14ac:dyDescent="0.2">
      <c r="A15" s="20" t="s">
        <v>35</v>
      </c>
      <c r="B15" s="29">
        <v>2</v>
      </c>
      <c r="C15" s="41">
        <v>6.5</v>
      </c>
      <c r="D15" s="29">
        <v>7</v>
      </c>
    </row>
    <row r="16" spans="1:4" x14ac:dyDescent="0.2">
      <c r="A16" s="20" t="s">
        <v>67</v>
      </c>
      <c r="B16" s="20">
        <v>2</v>
      </c>
      <c r="C16" s="41">
        <v>2</v>
      </c>
      <c r="D16" s="29">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28"/>
  <sheetViews>
    <sheetView workbookViewId="0">
      <selection activeCell="K28" sqref="K28"/>
    </sheetView>
  </sheetViews>
  <sheetFormatPr defaultColWidth="10.42578125" defaultRowHeight="15" x14ac:dyDescent="0.2"/>
  <cols>
    <col min="1" max="1" width="28" style="1" customWidth="1"/>
    <col min="2" max="2" width="20.42578125" style="1" hidden="1" customWidth="1"/>
    <col min="3" max="4" width="11.28515625" style="1" customWidth="1"/>
    <col min="5" max="5" width="19.28515625" style="1" customWidth="1"/>
    <col min="6" max="9" width="13.5703125" style="1" customWidth="1"/>
    <col min="10" max="10" width="15.85546875" style="1" customWidth="1"/>
    <col min="11" max="11" width="10.42578125" style="1" customWidth="1"/>
    <col min="12" max="16384" width="10.42578125" style="1"/>
  </cols>
  <sheetData>
    <row r="1" spans="1:10" ht="17.45" customHeight="1" x14ac:dyDescent="0.2">
      <c r="E1" s="2" t="s">
        <v>0</v>
      </c>
      <c r="H1" s="3" t="s">
        <v>1</v>
      </c>
    </row>
    <row r="2" spans="1:10" ht="13.9" customHeight="1" x14ac:dyDescent="0.2">
      <c r="E2" s="3" t="s">
        <v>2</v>
      </c>
      <c r="F2" s="3" t="s">
        <v>3</v>
      </c>
    </row>
    <row r="3" spans="1:10" ht="13.9" customHeight="1" x14ac:dyDescent="0.2">
      <c r="E3" s="3" t="s">
        <v>4</v>
      </c>
      <c r="F3" s="3" t="s">
        <v>5</v>
      </c>
    </row>
    <row r="4" spans="1:10" ht="13.9" customHeight="1" x14ac:dyDescent="0.2"/>
    <row r="5" spans="1:10" ht="13.9" customHeight="1" x14ac:dyDescent="0.2"/>
    <row r="6" spans="1:10" ht="24" customHeight="1" x14ac:dyDescent="0.2">
      <c r="A6" s="42" t="s">
        <v>36</v>
      </c>
      <c r="B6" s="43"/>
      <c r="C6" s="43"/>
      <c r="D6" s="43"/>
      <c r="E6" s="43"/>
      <c r="F6" s="43"/>
      <c r="G6" s="43"/>
      <c r="H6" s="43"/>
      <c r="I6" s="43"/>
      <c r="J6" s="43"/>
    </row>
    <row r="7" spans="1:10" ht="13.9" customHeight="1" x14ac:dyDescent="0.2"/>
    <row r="8" spans="1:10" ht="13.9" customHeight="1" x14ac:dyDescent="0.2"/>
    <row r="9" spans="1:10" ht="13.9" customHeight="1" x14ac:dyDescent="0.2">
      <c r="A9" s="4" t="s">
        <v>37</v>
      </c>
      <c r="B9" s="21" t="str">
        <f>IF(Quote!B9="","",Quote!B9&amp;"-"&amp;Settings!$B$4)</f>
        <v/>
      </c>
      <c r="C9" s="6" t="s">
        <v>69</v>
      </c>
      <c r="D9" s="6"/>
      <c r="E9" s="4" t="s">
        <v>8</v>
      </c>
      <c r="F9" s="39" t="str">
        <f>IF(Quote!F9="","",Quote!F9)</f>
        <v>Jamie Darwin</v>
      </c>
      <c r="G9" s="6"/>
      <c r="H9" s="6"/>
      <c r="I9" s="6"/>
      <c r="J9" s="6"/>
    </row>
    <row r="10" spans="1:10" ht="13.9" customHeight="1" x14ac:dyDescent="0.2">
      <c r="A10" s="4" t="s">
        <v>38</v>
      </c>
      <c r="B10" s="7">
        <f ca="1">TODAY()</f>
        <v>46127</v>
      </c>
      <c r="C10" s="40">
        <v>46118</v>
      </c>
      <c r="D10" s="6"/>
      <c r="E10" s="4" t="s">
        <v>10</v>
      </c>
      <c r="F10" s="39" t="str">
        <f>IF(Quote!F10="","",Quote!F10)</f>
        <v>85 Woodland Park Dr</v>
      </c>
      <c r="G10" s="39" t="str">
        <f>IF(Quote!G10="","",Quote!G10)</f>
        <v/>
      </c>
      <c r="H10" s="39" t="str">
        <f>IF(Quote!H10="","",Quote!H10)</f>
        <v/>
      </c>
      <c r="I10" s="6"/>
      <c r="J10" s="6"/>
    </row>
    <row r="11" spans="1:10" ht="13.9" customHeight="1" x14ac:dyDescent="0.2">
      <c r="A11" s="4" t="s">
        <v>39</v>
      </c>
      <c r="B11" s="7">
        <f ca="1">IF(B10="","",B10+Settings!$B$3)</f>
        <v>46157</v>
      </c>
      <c r="C11" s="6"/>
      <c r="D11" s="6"/>
      <c r="E11" s="4" t="s">
        <v>12</v>
      </c>
      <c r="F11" s="39">
        <f>IF(Quote!F11="","",Quote!F11)</f>
        <v>2566050544</v>
      </c>
      <c r="G11" s="39" t="str">
        <f>IF(Quote!G11="","",Quote!G11)</f>
        <v/>
      </c>
      <c r="H11" s="39" t="str">
        <f>IF(Quote!H11="","",Quote!H11)</f>
        <v/>
      </c>
      <c r="I11" s="6"/>
      <c r="J11" s="6"/>
    </row>
    <row r="12" spans="1:10" ht="13.9" customHeight="1" x14ac:dyDescent="0.2">
      <c r="A12" s="4" t="s">
        <v>40</v>
      </c>
      <c r="B12" s="5" t="str">
        <f>Settings!$B$3&amp;" days"</f>
        <v>30 days</v>
      </c>
      <c r="C12" s="6"/>
      <c r="D12" s="6"/>
      <c r="E12" s="4" t="s">
        <v>41</v>
      </c>
      <c r="F12" s="39" t="str">
        <f>IF(Quote!B9="","",Quote!B9)</f>
        <v/>
      </c>
      <c r="G12" s="6"/>
      <c r="H12" s="6"/>
      <c r="I12" s="6"/>
      <c r="J12" s="6"/>
    </row>
    <row r="13" spans="1:10" ht="13.9" customHeight="1" x14ac:dyDescent="0.2"/>
    <row r="14" spans="1:10" ht="13.9" customHeight="1" x14ac:dyDescent="0.25">
      <c r="A14" s="32" t="s">
        <v>15</v>
      </c>
      <c r="B14" s="32"/>
      <c r="C14" s="32" t="s">
        <v>63</v>
      </c>
      <c r="D14" s="34"/>
      <c r="E14" s="34"/>
      <c r="F14" s="34"/>
      <c r="G14" s="35"/>
      <c r="H14" s="32" t="s">
        <v>16</v>
      </c>
      <c r="I14" s="32" t="s">
        <v>17</v>
      </c>
      <c r="J14" s="32" t="s">
        <v>18</v>
      </c>
    </row>
    <row r="15" spans="1:10" ht="16.350000000000001" customHeight="1" x14ac:dyDescent="0.2">
      <c r="A15" s="10" t="str">
        <f>IF(Quote!A15="","",Quote!A15)</f>
        <v>6" Seamless Guttercoil</v>
      </c>
      <c r="B15" s="11"/>
      <c r="C15" s="12" t="s">
        <v>64</v>
      </c>
      <c r="D15" s="12"/>
      <c r="E15" s="12"/>
      <c r="F15" s="12"/>
      <c r="G15" s="13"/>
      <c r="H15" s="14">
        <f>IF(Quote!H15="","",Quote!H15)</f>
        <v>252</v>
      </c>
      <c r="I15" s="15">
        <f>IF(Quote!I15="","",Quote!I15)</f>
        <v>7</v>
      </c>
      <c r="J15" s="15">
        <f t="shared" ref="J15:J26" si="0">IF(OR($A15="",$H15="",$I15=""),"",H15*I15)</f>
        <v>1764</v>
      </c>
    </row>
    <row r="16" spans="1:10" ht="16.350000000000001" customHeight="1" x14ac:dyDescent="0.2">
      <c r="A16" s="10" t="str">
        <f>IF(Quote!A16="","",Quote!A16)</f>
        <v>Down Spout</v>
      </c>
      <c r="B16" s="11"/>
      <c r="C16" s="12"/>
      <c r="D16" s="12"/>
      <c r="E16" s="12"/>
      <c r="F16" s="12"/>
      <c r="G16" s="13"/>
      <c r="H16" s="14">
        <f>IF(Quote!H16="","",Quote!H16)</f>
        <v>7</v>
      </c>
      <c r="I16" s="15">
        <f>IF(Quote!I16="","",Quote!I16)</f>
        <v>70</v>
      </c>
      <c r="J16" s="15">
        <f t="shared" si="0"/>
        <v>490</v>
      </c>
    </row>
    <row r="17" spans="1:10" ht="16.350000000000001" customHeight="1" x14ac:dyDescent="0.2">
      <c r="A17" s="10" t="str">
        <f>IF(Quote!A17="","",Quote!A17)</f>
        <v>A Elbow</v>
      </c>
      <c r="B17" s="11"/>
      <c r="C17" s="12"/>
      <c r="D17" s="12"/>
      <c r="E17" s="12"/>
      <c r="F17" s="12"/>
      <c r="G17" s="13"/>
      <c r="H17" s="14">
        <f>IF(Quote!H17="","",Quote!H17)</f>
        <v>21</v>
      </c>
      <c r="I17" s="15">
        <f>IF(Quote!I17="","",Quote!I17)</f>
        <v>7</v>
      </c>
      <c r="J17" s="15">
        <f t="shared" si="0"/>
        <v>147</v>
      </c>
    </row>
    <row r="18" spans="1:10" ht="16.350000000000001" customHeight="1" x14ac:dyDescent="0.2">
      <c r="A18" s="10" t="str">
        <f>IF(Quote!A18="","",Quote!A18)</f>
        <v>Inside Miter</v>
      </c>
      <c r="B18" s="11"/>
      <c r="C18" s="12"/>
      <c r="D18" s="12"/>
      <c r="E18" s="12"/>
      <c r="F18" s="12"/>
      <c r="G18" s="13"/>
      <c r="H18" s="14">
        <f>IF(Quote!H18="","",Quote!H18)</f>
        <v>2</v>
      </c>
      <c r="I18" s="15">
        <f>IF(Quote!I18="","",Quote!I18)</f>
        <v>32</v>
      </c>
      <c r="J18" s="15">
        <f t="shared" si="0"/>
        <v>64</v>
      </c>
    </row>
    <row r="19" spans="1:10" ht="16.350000000000001" customHeight="1" x14ac:dyDescent="0.2">
      <c r="A19" s="10" t="str">
        <f>IF(Quote!A19="","",Quote!A19)</f>
        <v>4 crimp offsets</v>
      </c>
      <c r="B19" s="11"/>
      <c r="C19" s="12"/>
      <c r="D19" s="12"/>
      <c r="E19" s="12"/>
      <c r="F19" s="12"/>
      <c r="G19" s="13"/>
      <c r="H19" s="14">
        <f>IF(Quote!H19="","",Quote!H19)</f>
        <v>4</v>
      </c>
      <c r="I19" s="15">
        <f>IF(Quote!I19="","",Quote!I19)</f>
        <v>7</v>
      </c>
      <c r="J19" s="15">
        <f t="shared" si="0"/>
        <v>28</v>
      </c>
    </row>
    <row r="20" spans="1:10" ht="13.9" customHeight="1" x14ac:dyDescent="0.2">
      <c r="A20" s="10" t="str">
        <f>IF(Quote!A20="","",Quote!A20)</f>
        <v>6" End Caps Left</v>
      </c>
      <c r="B20" s="11"/>
      <c r="C20" s="12"/>
      <c r="D20" s="12"/>
      <c r="E20" s="12"/>
      <c r="F20" s="12"/>
      <c r="G20" s="13"/>
      <c r="H20" s="14">
        <f>IF(Quote!H20="","",Quote!H20)</f>
        <v>3</v>
      </c>
      <c r="I20" s="15">
        <f>IF(Quote!I20="","",Quote!I20)</f>
        <v>0</v>
      </c>
      <c r="J20" s="15">
        <f t="shared" si="0"/>
        <v>0</v>
      </c>
    </row>
    <row r="21" spans="1:10" ht="13.9" customHeight="1" x14ac:dyDescent="0.2">
      <c r="A21" s="10" t="str">
        <f>IF(Quote!A21="","",Quote!A21)</f>
        <v>6" End Caps Right</v>
      </c>
      <c r="B21" s="11"/>
      <c r="C21" s="12"/>
      <c r="D21" s="12"/>
      <c r="E21" s="12"/>
      <c r="F21" s="12"/>
      <c r="G21" s="13"/>
      <c r="H21" s="14">
        <f>IF(Quote!H21="","",Quote!H21)</f>
        <v>3</v>
      </c>
      <c r="I21" s="15">
        <f>IF(Quote!I21="","",Quote!I21)</f>
        <v>0</v>
      </c>
      <c r="J21" s="15">
        <f t="shared" si="0"/>
        <v>0</v>
      </c>
    </row>
    <row r="22" spans="1:10" ht="13.9" customHeight="1" x14ac:dyDescent="0.2">
      <c r="A22" s="10" t="str">
        <f>IF(Quote!A22="","",Quote!A22)</f>
        <v>Straps</v>
      </c>
      <c r="B22" s="11"/>
      <c r="C22" s="12"/>
      <c r="D22" s="12"/>
      <c r="E22" s="12"/>
      <c r="F22" s="12"/>
      <c r="G22" s="13"/>
      <c r="H22" s="14">
        <f>IF(Quote!H22="","",Quote!H22)</f>
        <v>14</v>
      </c>
      <c r="I22" s="15">
        <f>IF(Quote!I22="","",Quote!I22)</f>
        <v>2</v>
      </c>
      <c r="J22" s="15">
        <f t="shared" si="0"/>
        <v>28</v>
      </c>
    </row>
    <row r="23" spans="1:10" ht="13.9" customHeight="1" x14ac:dyDescent="0.2">
      <c r="A23" s="10" t="str">
        <f>IF(Quote!A23="","",Quote!A23)</f>
        <v>Clips/100</v>
      </c>
      <c r="B23" s="11"/>
      <c r="C23" s="12"/>
      <c r="D23" s="12"/>
      <c r="E23" s="12"/>
      <c r="F23" s="12"/>
      <c r="G23" s="13"/>
      <c r="H23" s="14">
        <f>IF(Quote!H23="","",Quote!H23)</f>
        <v>84</v>
      </c>
      <c r="I23" s="15">
        <f>IF(Quote!I23="","",Quote!I23)</f>
        <v>0.55000000000000004</v>
      </c>
      <c r="J23" s="15">
        <f t="shared" si="0"/>
        <v>46.2</v>
      </c>
    </row>
    <row r="24" spans="1:10" ht="13.9" customHeight="1" x14ac:dyDescent="0.2">
      <c r="A24" s="10" t="str">
        <f>IF(Quote!A24="","",Quote!A24)</f>
        <v>Outside Miters</v>
      </c>
      <c r="B24" s="11"/>
      <c r="C24" s="12"/>
      <c r="D24" s="12"/>
      <c r="E24" s="12"/>
      <c r="F24" s="12"/>
      <c r="G24" s="13"/>
      <c r="H24" s="14">
        <f>IF(Quote!H24="","",Quote!H24)</f>
        <v>8</v>
      </c>
      <c r="I24" s="15">
        <f>IF(Quote!I24="","",Quote!I24)</f>
        <v>32</v>
      </c>
      <c r="J24" s="15">
        <f t="shared" si="0"/>
        <v>256</v>
      </c>
    </row>
    <row r="25" spans="1:10" ht="13.9" customHeight="1" x14ac:dyDescent="0.2">
      <c r="A25" s="10" t="str">
        <f>IF(Quote!A25="","",Quote!A25)</f>
        <v/>
      </c>
      <c r="B25" s="11"/>
      <c r="C25" s="12"/>
      <c r="D25" s="12"/>
      <c r="E25" s="12"/>
      <c r="F25" s="12"/>
      <c r="G25" s="13"/>
      <c r="H25" s="14" t="str">
        <f>IF(Quote!H25="","",Quote!H25)</f>
        <v/>
      </c>
      <c r="I25" s="15" t="str">
        <f>IF(Quote!I25="","",Quote!I25)</f>
        <v/>
      </c>
      <c r="J25" s="15" t="str">
        <f t="shared" si="0"/>
        <v/>
      </c>
    </row>
    <row r="26" spans="1:10" ht="13.9" customHeight="1" x14ac:dyDescent="0.2">
      <c r="A26" s="10" t="str">
        <f>IF(Quote!A26="","",Quote!A26)</f>
        <v/>
      </c>
      <c r="B26" s="11"/>
      <c r="C26" s="12"/>
      <c r="D26" s="12"/>
      <c r="E26" s="12"/>
      <c r="F26" s="12"/>
      <c r="G26" s="13"/>
      <c r="H26" s="14" t="str">
        <f>IF(Quote!H26="","",Quote!H26)</f>
        <v/>
      </c>
      <c r="I26" s="15" t="str">
        <f>IF(Quote!I26="","",Quote!I26)</f>
        <v/>
      </c>
      <c r="J26" s="15" t="str">
        <f t="shared" si="0"/>
        <v/>
      </c>
    </row>
    <row r="27" spans="1:10" ht="13.9" customHeight="1" x14ac:dyDescent="0.2">
      <c r="A27" s="16"/>
      <c r="B27" s="16"/>
      <c r="C27" s="16"/>
      <c r="D27" s="16"/>
      <c r="E27" s="16"/>
      <c r="F27" s="16"/>
      <c r="G27" s="16"/>
      <c r="H27" s="16"/>
      <c r="I27" s="16"/>
      <c r="J27" s="16"/>
    </row>
    <row r="28" spans="1:10" ht="13.9" customHeight="1" x14ac:dyDescent="0.25">
      <c r="A28" s="9"/>
      <c r="B28" s="9"/>
      <c r="C28" s="9"/>
      <c r="D28" s="9"/>
      <c r="E28" s="9"/>
      <c r="F28" s="9"/>
      <c r="G28" s="9"/>
      <c r="H28" s="17" t="s">
        <v>26</v>
      </c>
      <c r="I28" s="18"/>
      <c r="J28" s="19">
        <f>IF(COUNT(J15:J26)=0,"",SUM(J15:J26))</f>
        <v>2823.2</v>
      </c>
    </row>
  </sheetData>
  <mergeCells count="1">
    <mergeCell ref="A6:J6"/>
  </mergeCells>
  <conditionalFormatting sqref="I15:I26">
    <cfRule type="expression" dxfId="0" priority="2">
      <formula>AND($A15&lt;&gt;"",$I15="")</formula>
    </cfRule>
  </conditionalFormatting>
  <pageMargins left="0.7" right="0.7" top="0.75" bottom="0.75" header="0.3" footer="0.3"/>
  <pageSetup scale="66"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7"/>
  <sheetViews>
    <sheetView workbookViewId="0">
      <selection activeCell="B35" sqref="B35"/>
    </sheetView>
  </sheetViews>
  <sheetFormatPr defaultColWidth="9.7109375" defaultRowHeight="12.75" x14ac:dyDescent="0.2"/>
  <cols>
    <col min="1" max="1" width="27.28515625" style="20" customWidth="1"/>
    <col min="2" max="2" width="22.7109375" style="20" customWidth="1"/>
    <col min="3" max="3" width="20.42578125" style="20" customWidth="1"/>
  </cols>
  <sheetData>
    <row r="1" spans="1:3" ht="17.45" customHeight="1" x14ac:dyDescent="0.2">
      <c r="A1" s="44" t="s">
        <v>42</v>
      </c>
      <c r="B1" s="45"/>
      <c r="C1" s="45"/>
    </row>
    <row r="3" spans="1:3" ht="13.9" customHeight="1" x14ac:dyDescent="0.25">
      <c r="A3" s="22" t="s">
        <v>43</v>
      </c>
      <c r="B3" s="23">
        <v>30</v>
      </c>
    </row>
    <row r="4" spans="1:3" ht="13.9" customHeight="1" x14ac:dyDescent="0.25">
      <c r="A4" s="22" t="s">
        <v>44</v>
      </c>
      <c r="B4" s="23" t="s">
        <v>45</v>
      </c>
    </row>
    <row r="6" spans="1:3" ht="13.9" customHeight="1" x14ac:dyDescent="0.2">
      <c r="A6" s="24" t="s">
        <v>46</v>
      </c>
    </row>
    <row r="7" spans="1:3" ht="36" customHeight="1" x14ac:dyDescent="0.2">
      <c r="A7" s="25" t="s">
        <v>47</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
  <sheetViews>
    <sheetView workbookViewId="0"/>
  </sheetViews>
  <sheetFormatPr defaultColWidth="9.7109375" defaultRowHeight="12.75" x14ac:dyDescent="0.2"/>
  <cols>
    <col min="1" max="1" width="113.5703125" style="20" customWidth="1"/>
  </cols>
  <sheetData>
    <row r="1" spans="1:1" ht="17.45" customHeight="1" x14ac:dyDescent="0.2">
      <c r="A1" s="26" t="s">
        <v>48</v>
      </c>
    </row>
    <row r="3" spans="1:1" ht="24" customHeight="1" x14ac:dyDescent="0.2">
      <c r="A3" s="25" t="s">
        <v>49</v>
      </c>
    </row>
    <row r="4" spans="1:1" ht="30" x14ac:dyDescent="0.2">
      <c r="A4" s="25" t="s">
        <v>50</v>
      </c>
    </row>
    <row r="5" spans="1:1" ht="24" customHeight="1" x14ac:dyDescent="0.2">
      <c r="A5" s="25" t="s">
        <v>51</v>
      </c>
    </row>
    <row r="6" spans="1:1" ht="24" customHeight="1" x14ac:dyDescent="0.2">
      <c r="A6" s="25" t="s">
        <v>52</v>
      </c>
    </row>
    <row r="7" spans="1:1" ht="31.35" customHeight="1" x14ac:dyDescent="0.2">
      <c r="A7" s="25" t="s">
        <v>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6"/>
  <sheetViews>
    <sheetView tabSelected="1" workbookViewId="0">
      <selection activeCell="H8" sqref="H8"/>
    </sheetView>
  </sheetViews>
  <sheetFormatPr defaultColWidth="9.7109375" defaultRowHeight="12.75" x14ac:dyDescent="0.2"/>
  <cols>
    <col min="1" max="1" width="18.140625" style="20" customWidth="1"/>
    <col min="2" max="2" width="15.85546875" style="20" customWidth="1"/>
    <col min="3" max="3" width="29.5703125" style="20" customWidth="1"/>
    <col min="4" max="4" width="20.42578125" style="20" customWidth="1"/>
    <col min="5" max="7" width="15.85546875" style="20" customWidth="1"/>
    <col min="8" max="8" width="43.140625" style="20" customWidth="1"/>
  </cols>
  <sheetData>
    <row r="1" spans="1:8" ht="17.45" customHeight="1" x14ac:dyDescent="0.2">
      <c r="A1" s="42" t="s">
        <v>54</v>
      </c>
      <c r="B1" s="46"/>
      <c r="C1" s="46"/>
      <c r="D1" s="46"/>
      <c r="E1" s="46"/>
      <c r="F1" s="46"/>
      <c r="G1" s="46"/>
      <c r="H1" s="37"/>
    </row>
    <row r="2" spans="1:8" ht="17.45" customHeight="1" x14ac:dyDescent="0.2">
      <c r="A2" s="32" t="s">
        <v>37</v>
      </c>
      <c r="B2" s="32" t="s">
        <v>55</v>
      </c>
      <c r="C2" s="32" t="s">
        <v>8</v>
      </c>
      <c r="D2" s="32" t="s">
        <v>56</v>
      </c>
      <c r="E2" s="32" t="s">
        <v>57</v>
      </c>
      <c r="F2" s="32" t="s">
        <v>58</v>
      </c>
      <c r="G2" s="32" t="s">
        <v>59</v>
      </c>
      <c r="H2" s="38" t="s">
        <v>60</v>
      </c>
    </row>
    <row r="3" spans="1:8" ht="76.150000000000006" customHeight="1" x14ac:dyDescent="0.2">
      <c r="A3" s="19" t="str">
        <f>IF(Invoice!B9="","",Invoice!B9)</f>
        <v/>
      </c>
      <c r="B3" s="27">
        <f ca="1">IF(Invoice!B10="","",Invoice!B10)</f>
        <v>46127</v>
      </c>
      <c r="C3" s="19" t="str">
        <f>IF(Invoice!F9="","",Invoice!F9)</f>
        <v>Jamie Darwin</v>
      </c>
      <c r="D3" s="19">
        <f>IF(Invoice!F11="","",Invoice!F11)</f>
        <v>2566050544</v>
      </c>
      <c r="E3" s="19">
        <f>IF(Invoice!J28="","",Invoice!J28)</f>
        <v>2823.2</v>
      </c>
      <c r="F3" s="19">
        <f>IF(Quote!L28="","",Quote!L28)</f>
        <v>972.66</v>
      </c>
      <c r="G3" s="19">
        <f>IF(OR(E3="",F3=""),"",E3-F3)</f>
        <v>1850.54</v>
      </c>
      <c r="H3" s="25" t="s">
        <v>61</v>
      </c>
    </row>
    <row r="5" spans="1:8" ht="17.45" customHeight="1" x14ac:dyDescent="0.2">
      <c r="A5" s="42" t="s">
        <v>62</v>
      </c>
      <c r="B5" s="46"/>
      <c r="C5" s="46"/>
      <c r="D5" s="46"/>
      <c r="E5" s="46"/>
      <c r="F5" s="46"/>
      <c r="G5" s="46"/>
    </row>
    <row r="6" spans="1:8" ht="13.9" customHeight="1" x14ac:dyDescent="0.2">
      <c r="A6" s="32" t="s">
        <v>37</v>
      </c>
      <c r="B6" s="32" t="s">
        <v>55</v>
      </c>
      <c r="C6" s="32" t="s">
        <v>8</v>
      </c>
      <c r="D6" s="32" t="s">
        <v>56</v>
      </c>
      <c r="E6" s="32" t="s">
        <v>57</v>
      </c>
      <c r="F6" s="32" t="s">
        <v>58</v>
      </c>
      <c r="G6" s="32" t="s">
        <v>59</v>
      </c>
    </row>
    <row r="7" spans="1:8" ht="13.9" customHeight="1" x14ac:dyDescent="0.2">
      <c r="A7" s="11" t="s">
        <v>69</v>
      </c>
      <c r="B7" s="28">
        <v>46127</v>
      </c>
      <c r="C7" s="11" t="s">
        <v>68</v>
      </c>
      <c r="D7" s="11"/>
      <c r="E7" s="15">
        <v>1244</v>
      </c>
      <c r="F7" s="15">
        <v>461.18</v>
      </c>
      <c r="G7" s="15">
        <v>782.82</v>
      </c>
    </row>
    <row r="8" spans="1:8" ht="13.9" customHeight="1" x14ac:dyDescent="0.2">
      <c r="A8" s="11" t="s">
        <v>70</v>
      </c>
      <c r="B8" s="28">
        <v>46127</v>
      </c>
      <c r="C8" s="11" t="s">
        <v>68</v>
      </c>
      <c r="D8" s="11"/>
      <c r="E8" s="15">
        <v>1028</v>
      </c>
      <c r="F8" s="15">
        <v>362.59</v>
      </c>
      <c r="G8" s="15">
        <v>665.41</v>
      </c>
    </row>
    <row r="9" spans="1:8" ht="13.9" customHeight="1" x14ac:dyDescent="0.2">
      <c r="A9" s="11" t="s">
        <v>71</v>
      </c>
      <c r="B9" s="28">
        <v>46127</v>
      </c>
      <c r="C9" s="11" t="s">
        <v>68</v>
      </c>
      <c r="D9" s="11"/>
      <c r="E9" s="15">
        <v>2112</v>
      </c>
      <c r="F9" s="15">
        <v>737.39</v>
      </c>
      <c r="G9" s="15">
        <v>1374.61</v>
      </c>
    </row>
    <row r="10" spans="1:8" ht="13.9" customHeight="1" x14ac:dyDescent="0.2">
      <c r="A10" s="11" t="s">
        <v>72</v>
      </c>
      <c r="B10" s="28">
        <v>46127</v>
      </c>
      <c r="C10" s="11" t="s">
        <v>68</v>
      </c>
      <c r="D10" s="11"/>
      <c r="E10" s="15">
        <v>1324</v>
      </c>
      <c r="F10" s="15">
        <v>486.59</v>
      </c>
      <c r="G10" s="15">
        <v>837.41</v>
      </c>
    </row>
    <row r="11" spans="1:8" ht="13.9" customHeight="1" x14ac:dyDescent="0.2">
      <c r="A11" s="11" t="s">
        <v>73</v>
      </c>
      <c r="B11" s="28">
        <v>46127</v>
      </c>
      <c r="C11" s="11" t="s">
        <v>68</v>
      </c>
      <c r="D11" s="11"/>
      <c r="E11" s="15">
        <v>1366</v>
      </c>
      <c r="F11" s="15">
        <v>487.75</v>
      </c>
      <c r="G11" s="15">
        <v>878.25</v>
      </c>
    </row>
    <row r="12" spans="1:8" ht="13.9" customHeight="1" x14ac:dyDescent="0.2">
      <c r="A12" s="11"/>
      <c r="B12" s="28"/>
      <c r="C12" s="11"/>
      <c r="D12" s="11"/>
      <c r="E12" s="15"/>
      <c r="F12" s="15"/>
      <c r="G12" s="15"/>
    </row>
    <row r="13" spans="1:8" ht="13.9" customHeight="1" x14ac:dyDescent="0.2">
      <c r="A13" s="11"/>
      <c r="B13" s="28"/>
      <c r="C13" s="11"/>
      <c r="D13" s="11"/>
      <c r="E13" s="15"/>
      <c r="F13" s="15"/>
      <c r="G13" s="15"/>
    </row>
    <row r="14" spans="1:8" ht="13.9" customHeight="1" x14ac:dyDescent="0.2">
      <c r="A14" s="11"/>
      <c r="B14" s="28"/>
      <c r="C14" s="11"/>
      <c r="D14" s="11"/>
      <c r="E14" s="15"/>
      <c r="F14" s="15"/>
      <c r="G14" s="15"/>
    </row>
    <row r="15" spans="1:8" ht="13.9" customHeight="1" x14ac:dyDescent="0.2">
      <c r="A15" s="11"/>
      <c r="B15" s="28"/>
      <c r="C15" s="11"/>
      <c r="D15" s="11"/>
      <c r="E15" s="15"/>
      <c r="F15" s="15"/>
      <c r="G15" s="15"/>
    </row>
    <row r="16" spans="1:8" ht="13.9" customHeight="1" x14ac:dyDescent="0.2">
      <c r="A16" s="11"/>
      <c r="B16" s="28"/>
      <c r="C16" s="11"/>
      <c r="D16" s="11"/>
      <c r="E16" s="15"/>
      <c r="F16" s="15"/>
      <c r="G16" s="15"/>
    </row>
    <row r="17" spans="1:7" ht="13.9" customHeight="1" x14ac:dyDescent="0.2">
      <c r="A17" s="11"/>
      <c r="B17" s="28"/>
      <c r="C17" s="11"/>
      <c r="D17" s="11"/>
      <c r="E17" s="15"/>
      <c r="F17" s="15"/>
      <c r="G17" s="15"/>
    </row>
    <row r="18" spans="1:7" ht="13.9" customHeight="1" x14ac:dyDescent="0.2">
      <c r="A18" s="11"/>
      <c r="B18" s="28"/>
      <c r="C18" s="11"/>
      <c r="D18" s="11"/>
      <c r="E18" s="15"/>
      <c r="F18" s="15"/>
      <c r="G18" s="15"/>
    </row>
    <row r="19" spans="1:7" ht="13.9" customHeight="1" x14ac:dyDescent="0.2">
      <c r="A19" s="11"/>
      <c r="B19" s="28"/>
      <c r="C19" s="11"/>
      <c r="D19" s="11"/>
      <c r="E19" s="15"/>
      <c r="F19" s="15"/>
      <c r="G19" s="15"/>
    </row>
    <row r="20" spans="1:7" ht="13.9" customHeight="1" x14ac:dyDescent="0.2">
      <c r="A20" s="11"/>
      <c r="B20" s="28"/>
      <c r="C20" s="11"/>
      <c r="D20" s="11"/>
      <c r="E20" s="15"/>
      <c r="F20" s="15"/>
      <c r="G20" s="15"/>
    </row>
    <row r="21" spans="1:7" ht="13.9" customHeight="1" x14ac:dyDescent="0.2">
      <c r="A21" s="11"/>
      <c r="B21" s="28"/>
      <c r="C21" s="11"/>
      <c r="D21" s="11"/>
      <c r="E21" s="15"/>
      <c r="F21" s="15"/>
      <c r="G21" s="15"/>
    </row>
    <row r="22" spans="1:7" ht="13.9" customHeight="1" x14ac:dyDescent="0.2">
      <c r="A22" s="11"/>
      <c r="B22" s="28"/>
      <c r="C22" s="11"/>
      <c r="D22" s="11"/>
      <c r="E22" s="15"/>
      <c r="F22" s="15"/>
      <c r="G22" s="15"/>
    </row>
    <row r="23" spans="1:7" ht="13.9" customHeight="1" x14ac:dyDescent="0.2">
      <c r="A23" s="11"/>
      <c r="B23" s="28"/>
      <c r="C23" s="11"/>
      <c r="D23" s="11"/>
      <c r="E23" s="15"/>
      <c r="F23" s="15"/>
      <c r="G23" s="15"/>
    </row>
    <row r="24" spans="1:7" ht="13.9" customHeight="1" x14ac:dyDescent="0.2">
      <c r="A24" s="11"/>
      <c r="B24" s="28"/>
      <c r="C24" s="11"/>
      <c r="D24" s="11"/>
      <c r="E24" s="15"/>
      <c r="F24" s="15"/>
      <c r="G24" s="15"/>
    </row>
    <row r="25" spans="1:7" ht="13.9" customHeight="1" x14ac:dyDescent="0.2">
      <c r="A25" s="11"/>
      <c r="B25" s="28"/>
      <c r="C25" s="11"/>
      <c r="D25" s="11"/>
      <c r="E25" s="15"/>
      <c r="F25" s="15"/>
      <c r="G25" s="15"/>
    </row>
    <row r="26" spans="1:7" ht="13.9" customHeight="1" x14ac:dyDescent="0.2">
      <c r="A26" s="11"/>
      <c r="B26" s="28"/>
      <c r="C26" s="11"/>
      <c r="D26" s="11"/>
      <c r="E26" s="15"/>
      <c r="F26" s="15"/>
      <c r="G26" s="15"/>
    </row>
    <row r="27" spans="1:7" ht="13.9" customHeight="1" x14ac:dyDescent="0.2">
      <c r="A27" s="11"/>
      <c r="B27" s="28"/>
      <c r="C27" s="11"/>
      <c r="D27" s="11"/>
      <c r="E27" s="15"/>
      <c r="F27" s="15"/>
      <c r="G27" s="15"/>
    </row>
    <row r="28" spans="1:7" ht="13.9" customHeight="1" x14ac:dyDescent="0.2">
      <c r="A28" s="11"/>
      <c r="B28" s="28"/>
      <c r="C28" s="11"/>
      <c r="D28" s="11"/>
      <c r="E28" s="15"/>
      <c r="F28" s="15"/>
      <c r="G28" s="15"/>
    </row>
    <row r="29" spans="1:7" ht="13.9" customHeight="1" x14ac:dyDescent="0.2">
      <c r="A29" s="11"/>
      <c r="B29" s="28"/>
      <c r="C29" s="11"/>
      <c r="D29" s="11"/>
      <c r="E29" s="15"/>
      <c r="F29" s="15"/>
      <c r="G29" s="15"/>
    </row>
    <row r="30" spans="1:7" ht="13.9" customHeight="1" x14ac:dyDescent="0.2">
      <c r="A30" s="11"/>
      <c r="B30" s="28"/>
      <c r="C30" s="11"/>
      <c r="D30" s="11"/>
      <c r="E30" s="15"/>
      <c r="F30" s="15"/>
      <c r="G30" s="15"/>
    </row>
    <row r="31" spans="1:7" ht="13.9" customHeight="1" x14ac:dyDescent="0.2">
      <c r="A31" s="11"/>
      <c r="B31" s="28"/>
      <c r="C31" s="11"/>
      <c r="D31" s="11"/>
      <c r="E31" s="15"/>
      <c r="F31" s="15"/>
      <c r="G31" s="15"/>
    </row>
    <row r="32" spans="1:7" ht="13.9" customHeight="1" x14ac:dyDescent="0.2">
      <c r="A32" s="11"/>
      <c r="B32" s="28"/>
      <c r="C32" s="11"/>
      <c r="D32" s="11"/>
      <c r="E32" s="15"/>
      <c r="F32" s="15"/>
      <c r="G32" s="15"/>
    </row>
    <row r="33" spans="1:7" ht="13.9" customHeight="1" x14ac:dyDescent="0.2">
      <c r="A33" s="11"/>
      <c r="B33" s="28"/>
      <c r="C33" s="11"/>
      <c r="D33" s="11"/>
      <c r="E33" s="15"/>
      <c r="F33" s="15"/>
      <c r="G33" s="15"/>
    </row>
    <row r="34" spans="1:7" ht="13.9" customHeight="1" x14ac:dyDescent="0.2">
      <c r="A34" s="11"/>
      <c r="B34" s="28"/>
      <c r="C34" s="11"/>
      <c r="D34" s="11"/>
      <c r="E34" s="15"/>
      <c r="F34" s="15"/>
      <c r="G34" s="15"/>
    </row>
    <row r="35" spans="1:7" ht="13.9" customHeight="1" x14ac:dyDescent="0.2">
      <c r="A35" s="11"/>
      <c r="B35" s="28"/>
      <c r="C35" s="11"/>
      <c r="D35" s="11"/>
      <c r="E35" s="15"/>
      <c r="F35" s="15"/>
      <c r="G35" s="15"/>
    </row>
    <row r="36" spans="1:7" ht="13.9" customHeight="1" x14ac:dyDescent="0.2">
      <c r="A36" s="11"/>
      <c r="B36" s="28"/>
      <c r="C36" s="11"/>
      <c r="D36" s="11"/>
      <c r="E36" s="15"/>
      <c r="F36" s="15"/>
      <c r="G36" s="15"/>
    </row>
    <row r="37" spans="1:7" ht="13.9" customHeight="1" x14ac:dyDescent="0.2">
      <c r="A37" s="11"/>
      <c r="B37" s="28"/>
      <c r="C37" s="11"/>
      <c r="D37" s="11"/>
      <c r="E37" s="15"/>
      <c r="F37" s="15"/>
      <c r="G37" s="15"/>
    </row>
    <row r="38" spans="1:7" ht="13.9" customHeight="1" x14ac:dyDescent="0.2">
      <c r="A38" s="11"/>
      <c r="B38" s="28"/>
      <c r="C38" s="11"/>
      <c r="D38" s="11"/>
      <c r="E38" s="15"/>
      <c r="F38" s="15"/>
      <c r="G38" s="15"/>
    </row>
    <row r="39" spans="1:7" ht="13.9" customHeight="1" x14ac:dyDescent="0.2">
      <c r="A39" s="11"/>
      <c r="B39" s="28"/>
      <c r="C39" s="11"/>
      <c r="D39" s="11"/>
      <c r="E39" s="15"/>
      <c r="F39" s="15"/>
      <c r="G39" s="15"/>
    </row>
    <row r="40" spans="1:7" ht="13.9" customHeight="1" x14ac:dyDescent="0.2">
      <c r="A40" s="11"/>
      <c r="B40" s="28"/>
      <c r="C40" s="11"/>
      <c r="D40" s="11"/>
      <c r="E40" s="15"/>
      <c r="F40" s="15"/>
      <c r="G40" s="15"/>
    </row>
    <row r="41" spans="1:7" ht="13.9" customHeight="1" x14ac:dyDescent="0.2">
      <c r="A41" s="11"/>
      <c r="B41" s="28"/>
      <c r="C41" s="11"/>
      <c r="D41" s="11"/>
      <c r="E41" s="15"/>
      <c r="F41" s="15"/>
      <c r="G41" s="15"/>
    </row>
    <row r="42" spans="1:7" ht="13.9" customHeight="1" x14ac:dyDescent="0.2">
      <c r="A42" s="11"/>
      <c r="B42" s="28"/>
      <c r="C42" s="11"/>
      <c r="D42" s="11"/>
      <c r="E42" s="15"/>
      <c r="F42" s="15"/>
      <c r="G42" s="15"/>
    </row>
    <row r="43" spans="1:7" ht="13.9" customHeight="1" x14ac:dyDescent="0.2">
      <c r="A43" s="11"/>
      <c r="B43" s="28"/>
      <c r="C43" s="11"/>
      <c r="D43" s="11"/>
      <c r="E43" s="15"/>
      <c r="F43" s="15"/>
      <c r="G43" s="15"/>
    </row>
    <row r="44" spans="1:7" ht="13.9" customHeight="1" x14ac:dyDescent="0.2">
      <c r="A44" s="11"/>
      <c r="B44" s="28"/>
      <c r="C44" s="11"/>
      <c r="D44" s="11"/>
      <c r="E44" s="15"/>
      <c r="F44" s="15"/>
      <c r="G44" s="15"/>
    </row>
    <row r="45" spans="1:7" ht="13.9" customHeight="1" x14ac:dyDescent="0.2">
      <c r="A45" s="11"/>
      <c r="B45" s="28"/>
      <c r="C45" s="11"/>
      <c r="D45" s="11"/>
      <c r="E45" s="15"/>
      <c r="F45" s="15"/>
      <c r="G45" s="15"/>
    </row>
    <row r="46" spans="1:7" ht="13.9" customHeight="1" x14ac:dyDescent="0.2">
      <c r="A46" s="11"/>
      <c r="B46" s="28"/>
      <c r="C46" s="11"/>
      <c r="D46" s="11"/>
      <c r="E46" s="15"/>
      <c r="F46" s="15"/>
      <c r="G46" s="15"/>
    </row>
    <row r="47" spans="1:7" ht="13.9" customHeight="1" x14ac:dyDescent="0.2">
      <c r="A47" s="11"/>
      <c r="B47" s="28"/>
      <c r="C47" s="11"/>
      <c r="D47" s="11"/>
      <c r="E47" s="15"/>
      <c r="F47" s="15"/>
      <c r="G47" s="15"/>
    </row>
    <row r="48" spans="1:7" ht="13.9" customHeight="1" x14ac:dyDescent="0.2">
      <c r="A48" s="11"/>
      <c r="B48" s="28"/>
      <c r="C48" s="11"/>
      <c r="D48" s="11"/>
      <c r="E48" s="15"/>
      <c r="F48" s="15"/>
      <c r="G48" s="15"/>
    </row>
    <row r="49" spans="1:7" ht="13.9" customHeight="1" x14ac:dyDescent="0.2">
      <c r="A49" s="11"/>
      <c r="B49" s="28"/>
      <c r="C49" s="11"/>
      <c r="D49" s="11"/>
      <c r="E49" s="15"/>
      <c r="F49" s="15"/>
      <c r="G49" s="15"/>
    </row>
    <row r="50" spans="1:7" ht="13.9" customHeight="1" x14ac:dyDescent="0.2">
      <c r="A50" s="11"/>
      <c r="B50" s="28"/>
      <c r="C50" s="11"/>
      <c r="D50" s="11"/>
      <c r="E50" s="15"/>
      <c r="F50" s="15"/>
      <c r="G50" s="15"/>
    </row>
    <row r="51" spans="1:7" ht="13.9" customHeight="1" x14ac:dyDescent="0.2">
      <c r="A51" s="11"/>
      <c r="B51" s="28"/>
      <c r="C51" s="11"/>
      <c r="D51" s="11"/>
      <c r="E51" s="15"/>
      <c r="F51" s="15"/>
      <c r="G51" s="15"/>
    </row>
    <row r="52" spans="1:7" ht="13.9" customHeight="1" x14ac:dyDescent="0.2">
      <c r="A52" s="11"/>
      <c r="B52" s="28"/>
      <c r="C52" s="11"/>
      <c r="D52" s="11"/>
      <c r="E52" s="15"/>
      <c r="F52" s="15"/>
      <c r="G52" s="15"/>
    </row>
    <row r="53" spans="1:7" ht="13.9" customHeight="1" x14ac:dyDescent="0.2">
      <c r="A53" s="11"/>
      <c r="B53" s="28"/>
      <c r="C53" s="11"/>
      <c r="D53" s="11"/>
      <c r="E53" s="15"/>
      <c r="F53" s="15"/>
      <c r="G53" s="15"/>
    </row>
    <row r="54" spans="1:7" ht="13.9" customHeight="1" x14ac:dyDescent="0.2">
      <c r="A54" s="11"/>
      <c r="B54" s="28"/>
      <c r="C54" s="11"/>
      <c r="D54" s="11"/>
      <c r="E54" s="15"/>
      <c r="F54" s="15"/>
      <c r="G54" s="15"/>
    </row>
    <row r="55" spans="1:7" ht="13.9" customHeight="1" x14ac:dyDescent="0.2">
      <c r="A55" s="11"/>
      <c r="B55" s="28"/>
      <c r="C55" s="11"/>
      <c r="D55" s="11"/>
      <c r="E55" s="15"/>
      <c r="F55" s="15"/>
      <c r="G55" s="15"/>
    </row>
    <row r="56" spans="1:7" ht="13.9" customHeight="1" x14ac:dyDescent="0.2">
      <c r="A56" s="11"/>
      <c r="B56" s="28"/>
      <c r="C56" s="11"/>
      <c r="D56" s="11"/>
      <c r="E56" s="15"/>
      <c r="F56" s="15"/>
      <c r="G56" s="15"/>
    </row>
    <row r="57" spans="1:7" ht="13.9" customHeight="1" x14ac:dyDescent="0.2">
      <c r="A57" s="11"/>
      <c r="B57" s="28"/>
      <c r="C57" s="11"/>
      <c r="D57" s="11"/>
      <c r="E57" s="15"/>
      <c r="F57" s="15"/>
      <c r="G57" s="15"/>
    </row>
    <row r="58" spans="1:7" ht="13.9" customHeight="1" x14ac:dyDescent="0.2">
      <c r="A58" s="11"/>
      <c r="B58" s="28"/>
      <c r="C58" s="11"/>
      <c r="D58" s="11"/>
      <c r="E58" s="15"/>
      <c r="F58" s="15"/>
      <c r="G58" s="15"/>
    </row>
    <row r="59" spans="1:7" ht="13.9" customHeight="1" x14ac:dyDescent="0.2">
      <c r="A59" s="11"/>
      <c r="B59" s="28"/>
      <c r="C59" s="11"/>
      <c r="D59" s="11"/>
      <c r="E59" s="15"/>
      <c r="F59" s="15"/>
      <c r="G59" s="15"/>
    </row>
    <row r="60" spans="1:7" ht="13.9" customHeight="1" x14ac:dyDescent="0.2">
      <c r="A60" s="11"/>
      <c r="B60" s="28"/>
      <c r="C60" s="11"/>
      <c r="D60" s="11"/>
      <c r="E60" s="15"/>
      <c r="F60" s="15"/>
      <c r="G60" s="15"/>
    </row>
    <row r="61" spans="1:7" ht="13.9" customHeight="1" x14ac:dyDescent="0.2">
      <c r="A61" s="11"/>
      <c r="B61" s="28"/>
      <c r="C61" s="11"/>
      <c r="D61" s="11"/>
      <c r="E61" s="15"/>
      <c r="F61" s="15"/>
      <c r="G61" s="15"/>
    </row>
    <row r="62" spans="1:7" ht="13.9" customHeight="1" x14ac:dyDescent="0.2">
      <c r="A62" s="11"/>
      <c r="B62" s="28"/>
      <c r="C62" s="11"/>
      <c r="D62" s="11"/>
      <c r="E62" s="15"/>
      <c r="F62" s="15"/>
      <c r="G62" s="15"/>
    </row>
    <row r="63" spans="1:7" ht="13.9" customHeight="1" x14ac:dyDescent="0.2">
      <c r="A63" s="11"/>
      <c r="B63" s="28"/>
      <c r="C63" s="11"/>
      <c r="D63" s="11"/>
      <c r="E63" s="15"/>
      <c r="F63" s="15"/>
      <c r="G63" s="15"/>
    </row>
    <row r="64" spans="1:7" ht="13.9" customHeight="1" x14ac:dyDescent="0.2">
      <c r="A64" s="11"/>
      <c r="B64" s="28"/>
      <c r="C64" s="11"/>
      <c r="D64" s="11"/>
      <c r="E64" s="15"/>
      <c r="F64" s="15"/>
      <c r="G64" s="15"/>
    </row>
    <row r="65" spans="1:7" ht="13.9" customHeight="1" x14ac:dyDescent="0.2">
      <c r="A65" s="11"/>
      <c r="B65" s="28"/>
      <c r="C65" s="11"/>
      <c r="D65" s="11"/>
      <c r="E65" s="15"/>
      <c r="F65" s="15"/>
      <c r="G65" s="15"/>
    </row>
    <row r="66" spans="1:7" ht="13.9" customHeight="1" x14ac:dyDescent="0.2">
      <c r="A66" s="11"/>
      <c r="B66" s="28"/>
      <c r="C66" s="11"/>
      <c r="D66" s="11"/>
      <c r="E66" s="15"/>
      <c r="F66" s="15"/>
      <c r="G66" s="15"/>
    </row>
    <row r="67" spans="1:7" ht="13.9" customHeight="1" x14ac:dyDescent="0.2">
      <c r="A67" s="11"/>
      <c r="B67" s="28"/>
      <c r="C67" s="11"/>
      <c r="D67" s="11"/>
      <c r="E67" s="15"/>
      <c r="F67" s="15"/>
      <c r="G67" s="15"/>
    </row>
    <row r="68" spans="1:7" ht="13.9" customHeight="1" x14ac:dyDescent="0.2">
      <c r="A68" s="11"/>
      <c r="B68" s="28"/>
      <c r="C68" s="11"/>
      <c r="D68" s="11"/>
      <c r="E68" s="15"/>
      <c r="F68" s="15"/>
      <c r="G68" s="15"/>
    </row>
    <row r="69" spans="1:7" ht="13.9" customHeight="1" x14ac:dyDescent="0.2">
      <c r="A69" s="11"/>
      <c r="B69" s="28"/>
      <c r="C69" s="11"/>
      <c r="D69" s="11"/>
      <c r="E69" s="15"/>
      <c r="F69" s="15"/>
      <c r="G69" s="15"/>
    </row>
    <row r="70" spans="1:7" ht="13.9" customHeight="1" x14ac:dyDescent="0.2">
      <c r="A70" s="11"/>
      <c r="B70" s="28"/>
      <c r="C70" s="11"/>
      <c r="D70" s="11"/>
      <c r="E70" s="15"/>
      <c r="F70" s="15"/>
      <c r="G70" s="15"/>
    </row>
    <row r="71" spans="1:7" ht="13.9" customHeight="1" x14ac:dyDescent="0.2">
      <c r="A71" s="11"/>
      <c r="B71" s="28"/>
      <c r="C71" s="11"/>
      <c r="D71" s="11"/>
      <c r="E71" s="15"/>
      <c r="F71" s="15"/>
      <c r="G71" s="15"/>
    </row>
    <row r="72" spans="1:7" ht="13.9" customHeight="1" x14ac:dyDescent="0.2">
      <c r="A72" s="11"/>
      <c r="B72" s="28"/>
      <c r="C72" s="11"/>
      <c r="D72" s="11"/>
      <c r="E72" s="15"/>
      <c r="F72" s="15"/>
      <c r="G72" s="15"/>
    </row>
    <row r="73" spans="1:7" ht="13.9" customHeight="1" x14ac:dyDescent="0.2">
      <c r="A73" s="11"/>
      <c r="B73" s="28"/>
      <c r="C73" s="11"/>
      <c r="D73" s="11"/>
      <c r="E73" s="15"/>
      <c r="F73" s="15"/>
      <c r="G73" s="15"/>
    </row>
    <row r="74" spans="1:7" ht="13.9" customHeight="1" x14ac:dyDescent="0.2">
      <c r="A74" s="11"/>
      <c r="B74" s="28"/>
      <c r="C74" s="11"/>
      <c r="D74" s="11"/>
      <c r="E74" s="15"/>
      <c r="F74" s="15"/>
      <c r="G74" s="15"/>
    </row>
    <row r="75" spans="1:7" ht="13.9" customHeight="1" x14ac:dyDescent="0.2">
      <c r="A75" s="11"/>
      <c r="B75" s="28"/>
      <c r="C75" s="11"/>
      <c r="D75" s="11"/>
      <c r="E75" s="15"/>
      <c r="F75" s="15"/>
      <c r="G75" s="15"/>
    </row>
    <row r="76" spans="1:7" ht="13.9" customHeight="1" x14ac:dyDescent="0.2">
      <c r="A76" s="11"/>
      <c r="B76" s="28"/>
      <c r="C76" s="11"/>
      <c r="D76" s="11"/>
      <c r="E76" s="15"/>
      <c r="F76" s="15"/>
      <c r="G76" s="15"/>
    </row>
    <row r="77" spans="1:7" ht="13.9" customHeight="1" x14ac:dyDescent="0.2">
      <c r="A77" s="11"/>
      <c r="B77" s="28"/>
      <c r="C77" s="11"/>
      <c r="D77" s="11"/>
      <c r="E77" s="15"/>
      <c r="F77" s="15"/>
      <c r="G77" s="15"/>
    </row>
    <row r="78" spans="1:7" ht="13.9" customHeight="1" x14ac:dyDescent="0.2">
      <c r="A78" s="11"/>
      <c r="B78" s="28"/>
      <c r="C78" s="11"/>
      <c r="D78" s="11"/>
      <c r="E78" s="15"/>
      <c r="F78" s="15"/>
      <c r="G78" s="15"/>
    </row>
    <row r="79" spans="1:7" ht="13.9" customHeight="1" x14ac:dyDescent="0.2">
      <c r="A79" s="11"/>
      <c r="B79" s="28"/>
      <c r="C79" s="11"/>
      <c r="D79" s="11"/>
      <c r="E79" s="15"/>
      <c r="F79" s="15"/>
      <c r="G79" s="15"/>
    </row>
    <row r="80" spans="1:7" ht="13.9" customHeight="1" x14ac:dyDescent="0.2">
      <c r="A80" s="11"/>
      <c r="B80" s="28"/>
      <c r="C80" s="11"/>
      <c r="D80" s="11"/>
      <c r="E80" s="15"/>
      <c r="F80" s="15"/>
      <c r="G80" s="15"/>
    </row>
    <row r="81" spans="1:7" ht="13.9" customHeight="1" x14ac:dyDescent="0.2">
      <c r="A81" s="11"/>
      <c r="B81" s="28"/>
      <c r="C81" s="11"/>
      <c r="D81" s="11"/>
      <c r="E81" s="15"/>
      <c r="F81" s="15"/>
      <c r="G81" s="15"/>
    </row>
    <row r="82" spans="1:7" ht="13.9" customHeight="1" x14ac:dyDescent="0.2">
      <c r="A82" s="11"/>
      <c r="B82" s="28"/>
      <c r="C82" s="11"/>
      <c r="D82" s="11"/>
      <c r="E82" s="15"/>
      <c r="F82" s="15"/>
      <c r="G82" s="15"/>
    </row>
    <row r="83" spans="1:7" ht="13.9" customHeight="1" x14ac:dyDescent="0.2">
      <c r="A83" s="11"/>
      <c r="B83" s="28"/>
      <c r="C83" s="11"/>
      <c r="D83" s="11"/>
      <c r="E83" s="15"/>
      <c r="F83" s="15"/>
      <c r="G83" s="15"/>
    </row>
    <row r="84" spans="1:7" ht="13.9" customHeight="1" x14ac:dyDescent="0.2">
      <c r="A84" s="11"/>
      <c r="B84" s="28"/>
      <c r="C84" s="11"/>
      <c r="D84" s="11"/>
      <c r="E84" s="15"/>
      <c r="F84" s="15"/>
      <c r="G84" s="15"/>
    </row>
    <row r="85" spans="1:7" ht="13.9" customHeight="1" x14ac:dyDescent="0.2">
      <c r="A85" s="11"/>
      <c r="B85" s="28"/>
      <c r="C85" s="11"/>
      <c r="D85" s="11"/>
      <c r="E85" s="15"/>
      <c r="F85" s="15"/>
      <c r="G85" s="15"/>
    </row>
    <row r="86" spans="1:7" ht="13.9" customHeight="1" x14ac:dyDescent="0.2">
      <c r="A86" s="11"/>
      <c r="B86" s="28"/>
      <c r="C86" s="11"/>
      <c r="D86" s="11"/>
      <c r="E86" s="15"/>
      <c r="F86" s="15"/>
      <c r="G86" s="15"/>
    </row>
    <row r="87" spans="1:7" ht="13.9" customHeight="1" x14ac:dyDescent="0.2">
      <c r="A87" s="11"/>
      <c r="B87" s="28"/>
      <c r="C87" s="11"/>
      <c r="D87" s="11"/>
      <c r="E87" s="15"/>
      <c r="F87" s="15"/>
      <c r="G87" s="15"/>
    </row>
    <row r="88" spans="1:7" ht="13.9" customHeight="1" x14ac:dyDescent="0.2">
      <c r="A88" s="11"/>
      <c r="B88" s="28"/>
      <c r="C88" s="11"/>
      <c r="D88" s="11"/>
      <c r="E88" s="15"/>
      <c r="F88" s="15"/>
      <c r="G88" s="15"/>
    </row>
    <row r="89" spans="1:7" ht="13.9" customHeight="1" x14ac:dyDescent="0.2">
      <c r="A89" s="11"/>
      <c r="B89" s="28"/>
      <c r="C89" s="11"/>
      <c r="D89" s="11"/>
      <c r="E89" s="15"/>
      <c r="F89" s="15"/>
      <c r="G89" s="15"/>
    </row>
    <row r="90" spans="1:7" ht="13.9" customHeight="1" x14ac:dyDescent="0.2">
      <c r="A90" s="11"/>
      <c r="B90" s="28"/>
      <c r="C90" s="11"/>
      <c r="D90" s="11"/>
      <c r="E90" s="15"/>
      <c r="F90" s="15"/>
      <c r="G90" s="15"/>
    </row>
    <row r="91" spans="1:7" ht="13.9" customHeight="1" x14ac:dyDescent="0.2">
      <c r="A91" s="11"/>
      <c r="B91" s="28"/>
      <c r="C91" s="11"/>
      <c r="D91" s="11"/>
      <c r="E91" s="15"/>
      <c r="F91" s="15"/>
      <c r="G91" s="15"/>
    </row>
    <row r="92" spans="1:7" ht="13.9" customHeight="1" x14ac:dyDescent="0.2">
      <c r="A92" s="11"/>
      <c r="B92" s="28"/>
      <c r="C92" s="11"/>
      <c r="D92" s="11"/>
      <c r="E92" s="15"/>
      <c r="F92" s="15"/>
      <c r="G92" s="15"/>
    </row>
    <row r="93" spans="1:7" ht="13.9" customHeight="1" x14ac:dyDescent="0.2">
      <c r="A93" s="11"/>
      <c r="B93" s="28"/>
      <c r="C93" s="11"/>
      <c r="D93" s="11"/>
      <c r="E93" s="15"/>
      <c r="F93" s="15"/>
      <c r="G93" s="15"/>
    </row>
    <row r="94" spans="1:7" ht="13.9" customHeight="1" x14ac:dyDescent="0.2">
      <c r="A94" s="11"/>
      <c r="B94" s="28"/>
      <c r="C94" s="11"/>
      <c r="D94" s="11"/>
      <c r="E94" s="15"/>
      <c r="F94" s="15"/>
      <c r="G94" s="15"/>
    </row>
    <row r="95" spans="1:7" ht="13.9" customHeight="1" x14ac:dyDescent="0.2">
      <c r="A95" s="11"/>
      <c r="B95" s="28"/>
      <c r="C95" s="11"/>
      <c r="D95" s="11"/>
      <c r="E95" s="15"/>
      <c r="F95" s="15"/>
      <c r="G95" s="15"/>
    </row>
    <row r="96" spans="1:7" ht="13.9" customHeight="1" x14ac:dyDescent="0.2">
      <c r="A96" s="11"/>
      <c r="B96" s="28"/>
      <c r="C96" s="11"/>
      <c r="D96" s="11"/>
      <c r="E96" s="15"/>
      <c r="F96" s="15"/>
      <c r="G96" s="15"/>
    </row>
    <row r="97" spans="1:7" ht="13.9" customHeight="1" x14ac:dyDescent="0.2">
      <c r="A97" s="11"/>
      <c r="B97" s="28"/>
      <c r="C97" s="11"/>
      <c r="D97" s="11"/>
      <c r="E97" s="15"/>
      <c r="F97" s="15"/>
      <c r="G97" s="15"/>
    </row>
    <row r="98" spans="1:7" ht="13.9" customHeight="1" x14ac:dyDescent="0.2">
      <c r="A98" s="11"/>
      <c r="B98" s="28"/>
      <c r="C98" s="11"/>
      <c r="D98" s="11"/>
      <c r="E98" s="15"/>
      <c r="F98" s="15"/>
      <c r="G98" s="15"/>
    </row>
    <row r="99" spans="1:7" ht="13.9" customHeight="1" x14ac:dyDescent="0.2">
      <c r="A99" s="11"/>
      <c r="B99" s="28"/>
      <c r="C99" s="11"/>
      <c r="D99" s="11"/>
      <c r="E99" s="15"/>
      <c r="F99" s="15"/>
      <c r="G99" s="15"/>
    </row>
    <row r="100" spans="1:7" ht="13.9" customHeight="1" x14ac:dyDescent="0.2">
      <c r="A100" s="11"/>
      <c r="B100" s="28"/>
      <c r="C100" s="11"/>
      <c r="D100" s="11"/>
      <c r="E100" s="15"/>
      <c r="F100" s="15"/>
      <c r="G100" s="15"/>
    </row>
    <row r="101" spans="1:7" ht="13.9" customHeight="1" x14ac:dyDescent="0.2">
      <c r="A101" s="11"/>
      <c r="B101" s="28"/>
      <c r="C101" s="11"/>
      <c r="D101" s="11"/>
      <c r="E101" s="15"/>
      <c r="F101" s="15"/>
      <c r="G101" s="15"/>
    </row>
    <row r="102" spans="1:7" ht="13.9" customHeight="1" x14ac:dyDescent="0.2">
      <c r="A102" s="11"/>
      <c r="B102" s="28"/>
      <c r="C102" s="11"/>
      <c r="D102" s="11"/>
      <c r="E102" s="15"/>
      <c r="F102" s="15"/>
      <c r="G102" s="15"/>
    </row>
    <row r="103" spans="1:7" ht="13.9" customHeight="1" x14ac:dyDescent="0.2">
      <c r="A103" s="11"/>
      <c r="B103" s="28"/>
      <c r="C103" s="11"/>
      <c r="D103" s="11"/>
      <c r="E103" s="15"/>
      <c r="F103" s="15"/>
      <c r="G103" s="15"/>
    </row>
    <row r="104" spans="1:7" ht="13.9" customHeight="1" x14ac:dyDescent="0.2">
      <c r="A104" s="11"/>
      <c r="B104" s="28"/>
      <c r="C104" s="11"/>
      <c r="D104" s="11"/>
      <c r="E104" s="15"/>
      <c r="F104" s="15"/>
      <c r="G104" s="15"/>
    </row>
    <row r="105" spans="1:7" ht="13.9" customHeight="1" x14ac:dyDescent="0.2">
      <c r="A105" s="11"/>
      <c r="B105" s="28"/>
      <c r="C105" s="11"/>
      <c r="D105" s="11"/>
      <c r="E105" s="15"/>
      <c r="F105" s="15"/>
      <c r="G105" s="15"/>
    </row>
    <row r="106" spans="1:7" ht="13.9" customHeight="1" x14ac:dyDescent="0.2">
      <c r="A106" s="11"/>
      <c r="B106" s="28"/>
      <c r="C106" s="11"/>
      <c r="D106" s="11"/>
      <c r="E106" s="15"/>
      <c r="F106" s="15"/>
      <c r="G106" s="15"/>
    </row>
  </sheetData>
  <mergeCells count="2">
    <mergeCell ref="A1:G1"/>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Quote</vt:lpstr>
      <vt:lpstr>Material Items</vt:lpstr>
      <vt:lpstr>Invoice</vt:lpstr>
      <vt:lpstr>Settings</vt:lpstr>
      <vt:lpstr>How To</vt:lpstr>
      <vt:lpstr>Net Profits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Wilbanks, Brent</cp:lastModifiedBy>
  <cp:lastPrinted>2026-04-15T16:50:59Z</cp:lastPrinted>
  <dcterms:created xsi:type="dcterms:W3CDTF">2026-04-06T18:57:21Z</dcterms:created>
  <dcterms:modified xsi:type="dcterms:W3CDTF">2026-04-15T19:02:19Z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52f9f-8da8-4f07-ae9b-a121283f9489_Enabled">
    <vt:lpwstr>true</vt:lpwstr>
  </property>
  <property fmtid="{D5CDD505-2E9C-101B-9397-08002B2CF9AE}" pid="3" name="MSIP_Label_48152f9f-8da8-4f07-ae9b-a121283f9489_SetDate">
    <vt:lpwstr>2026-04-06T18:58:06Z</vt:lpwstr>
  </property>
  <property fmtid="{D5CDD505-2E9C-101B-9397-08002B2CF9AE}" pid="4" name="MSIP_Label_48152f9f-8da8-4f07-ae9b-a121283f9489_Method">
    <vt:lpwstr>Privileged</vt:lpwstr>
  </property>
  <property fmtid="{D5CDD505-2E9C-101B-9397-08002B2CF9AE}" pid="5" name="MSIP_Label_48152f9f-8da8-4f07-ae9b-a121283f9489_Name">
    <vt:lpwstr>Public Information</vt:lpwstr>
  </property>
  <property fmtid="{D5CDD505-2E9C-101B-9397-08002B2CF9AE}" pid="6" name="MSIP_Label_48152f9f-8da8-4f07-ae9b-a121283f9489_SiteId">
    <vt:lpwstr>6799c7fe-2b1b-4015-a407-1e64cf4383f9</vt:lpwstr>
  </property>
  <property fmtid="{D5CDD505-2E9C-101B-9397-08002B2CF9AE}" pid="7" name="MSIP_Label_48152f9f-8da8-4f07-ae9b-a121283f9489_ActionId">
    <vt:lpwstr>394744d0-5c6e-4226-8773-04551f2dd706</vt:lpwstr>
  </property>
  <property fmtid="{D5CDD505-2E9C-101B-9397-08002B2CF9AE}" pid="8" name="MSIP_Label_48152f9f-8da8-4f07-ae9b-a121283f9489_ContentBits">
    <vt:lpwstr>0</vt:lpwstr>
  </property>
  <property fmtid="{D5CDD505-2E9C-101B-9397-08002B2CF9AE}" pid="9" name="MSIP_Label_48152f9f-8da8-4f07-ae9b-a121283f9489_Tag">
    <vt:lpwstr>10, 0, 1, 1</vt:lpwstr>
  </property>
</Properties>
</file>